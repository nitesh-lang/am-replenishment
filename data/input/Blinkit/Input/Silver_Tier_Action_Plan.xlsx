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Blinkit\Input\"/>
    </mc:Choice>
  </mc:AlternateContent>
  <xr:revisionPtr revIDLastSave="0" documentId="11_E7B461651D86376E73D02224CB3F0EE12E10C809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Price Plan (margin-safe)" sheetId="2" r:id="rId2"/>
    <sheet name="Ad Spend Split (2.5L)" sheetId="3" r:id="rId3"/>
    <sheet name="Inbound Plan (to hit 60L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4" l="1"/>
  <c r="E9" i="4"/>
  <c r="E8" i="4"/>
  <c r="E7" i="4"/>
  <c r="E6" i="4"/>
  <c r="E5" i="4"/>
  <c r="E10" i="4" s="1"/>
  <c r="I15" i="3"/>
  <c r="F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G15" i="3" s="1"/>
</calcChain>
</file>

<file path=xl/sharedStrings.xml><?xml version="1.0" encoding="utf-8"?>
<sst xmlns="http://schemas.openxmlformats.org/spreadsheetml/2006/main" count="195" uniqueCount="154">
  <si>
    <t>Blinkit Silver Tier — Action Plan</t>
  </si>
  <si>
    <t>Cambium Retail · Quarter 1 Apr – 30 Jun 2026 · Prepared 11 Jun 2026</t>
  </si>
  <si>
    <t>Tier Criteria — where you stand</t>
  </si>
  <si>
    <t>Status</t>
  </si>
  <si>
    <t>Note</t>
  </si>
  <si>
    <t>Total sales (QTD, to 10 Jun)</t>
  </si>
  <si>
    <t>42.44 L</t>
  </si>
  <si>
    <t>Silver needs ≥ 60 L. THIS is the only blocker.</t>
  </si>
  <si>
    <t>Payout health</t>
  </si>
  <si>
    <t>100%</t>
  </si>
  <si>
    <t>Silver needs ≥ 75%. Clears comfortably.</t>
  </si>
  <si>
    <t>Seller controlled complaint %</t>
  </si>
  <si>
    <t>45.64%</t>
  </si>
  <si>
    <t>Silver needs &lt; 75%. Clears comfortably.</t>
  </si>
  <si>
    <t>The Numbers</t>
  </si>
  <si>
    <t>Value</t>
  </si>
  <si>
    <t>Meaning</t>
  </si>
  <si>
    <t>Sales booked (1 Apr – 10 Jun)</t>
  </si>
  <si>
    <t>71 days @ ~₹59.8k/day</t>
  </si>
  <si>
    <t>Days remaining (11 – 30 Jun)</t>
  </si>
  <si>
    <t>20</t>
  </si>
  <si>
    <t>Sell-through window left in quarter</t>
  </si>
  <si>
    <t>Coast projection (no change)</t>
  </si>
  <si>
    <t>54.40 L</t>
  </si>
  <si>
    <t>Where you land if nothing changes</t>
  </si>
  <si>
    <t>Silver target</t>
  </si>
  <si>
    <t>60.00 L</t>
  </si>
  <si>
    <t>Gap above coast</t>
  </si>
  <si>
    <t>5.60 L</t>
  </si>
  <si>
    <t>Incremental gross needed beyond coast</t>
  </si>
  <si>
    <t>Required daily run rate</t>
  </si>
  <si>
    <t>₹87.8k/day</t>
  </si>
  <si>
    <t>vs ₹59.8k now → +47% uplift needed</t>
  </si>
  <si>
    <t>Bottom line</t>
  </si>
  <si>
    <t>60 L is reachable ONLY if fresh stock inwards into Blinkit (GRN) by ~22 Jun, leaving 8 days to sell. Price cuts alone CANNOT reach 60 L: total Blinkit SOH across all SKUs is worth only ~40 L at full price, and cutting price lowers the sales metric (sales = SP x units) on stock you would sell anyway. Ad budget is not the constraint — inventory is.</t>
  </si>
  <si>
    <t>CRITICAL TIMING RISK (you flagged)</t>
  </si>
  <si>
    <t>You noted consignment may inward POST 22 Jun. If GRN completes after ~22 Jun, those units cannot realistically be sold + delivered before 30 Jun — so they contribute ~0 to THIS quarter and Silver is missed (land ~54–56 L). The single highest-leverage action is to expedite the inbound so it GRNs on or before 22 Jun. See 'Inbound Plan' tab for the minimum consignment.</t>
  </si>
  <si>
    <t>Price Plan — only margin-safe cuts kept; loss-making cuts reversed</t>
  </si>
  <si>
    <t>Rule: never cut a SKU into negative margin. Do NOT discount fast-sellers (they sell at full SP anyway). Cut only stranded high-SOH / slow-mover stock.</t>
  </si>
  <si>
    <t>Model</t>
  </si>
  <si>
    <t>Blinkit SOH</t>
  </si>
  <si>
    <t>Current SP</t>
  </si>
  <si>
    <t>Your Proposed SP</t>
  </si>
  <si>
    <t>Your Final Margin %</t>
  </si>
  <si>
    <t>RECOMMENDED SP</t>
  </si>
  <si>
    <t>Rec. Margin %</t>
  </si>
  <si>
    <t>Action</t>
  </si>
  <si>
    <t>Reason</t>
  </si>
  <si>
    <t>CFM-01</t>
  </si>
  <si>
    <t>KEEP FULL SP</t>
  </si>
  <si>
    <t>Hero, DRR 4.2 — sells out at full price. Do not discount.</t>
  </si>
  <si>
    <t>AM-W17</t>
  </si>
  <si>
    <t>Proposed cut goes loss-making; it already moves. Hold at 2249.</t>
  </si>
  <si>
    <t>SC-05</t>
  </si>
  <si>
    <t>Strong mover (DRR 1.55); no need to discount. Hold 2899.</t>
  </si>
  <si>
    <t>GS-02</t>
  </si>
  <si>
    <t>Cut is loss-making. Hold at 2249.</t>
  </si>
  <si>
    <t>EA-02</t>
  </si>
  <si>
    <t>Low SOH, DRR 1.1 — sells through. Hold 2149.</t>
  </si>
  <si>
    <t>LR-01</t>
  </si>
  <si>
    <t>Near-zero margin after cut. Hold 899; push via ads not price.</t>
  </si>
  <si>
    <t>V-01 RG</t>
  </si>
  <si>
    <t>DRR 2.54, sells at full SP. No discount.</t>
  </si>
  <si>
    <t>HM-01</t>
  </si>
  <si>
    <t>SAFE CUT to 879</t>
  </si>
  <si>
    <t>234 units, DRR 0.61 — stranded stock. Cut to break-even 879 (not 849) to clear without loss.</t>
  </si>
  <si>
    <t>AM-W45</t>
  </si>
  <si>
    <t>CUT OK 4999</t>
  </si>
  <si>
    <t>High ASP, idle stock. Margin stays +6.5%. Good clearance candidate.</t>
  </si>
  <si>
    <t>AI-04</t>
  </si>
  <si>
    <t>CUT OK 4699</t>
  </si>
  <si>
    <t>Margin +14.4% after cut. High value; discount + ads to move.</t>
  </si>
  <si>
    <t>AP-03</t>
  </si>
  <si>
    <t>CUT OK 4099</t>
  </si>
  <si>
    <t>Margin +11.4%. Highest ASP mover — prioritise.</t>
  </si>
  <si>
    <t>MR-01</t>
  </si>
  <si>
    <t>CUT OK 2899</t>
  </si>
  <si>
    <t>Margin +12.7%. Safe clearance.</t>
  </si>
  <si>
    <t>HSB-04</t>
  </si>
  <si>
    <t>CUT OK 2499</t>
  </si>
  <si>
    <t>Margin +13.4%. Safe.</t>
  </si>
  <si>
    <t>TI-02</t>
  </si>
  <si>
    <t>CUT OK 2049</t>
  </si>
  <si>
    <t>Margin +9.4%. Safe; slow mover, discount helps.</t>
  </si>
  <si>
    <t>KE-02</t>
  </si>
  <si>
    <t>CUT OK 1899</t>
  </si>
  <si>
    <t>Margin +6.2%. Safe.</t>
  </si>
  <si>
    <t>EA-01</t>
  </si>
  <si>
    <t>Margin +6.5%, 106 units. Safe clearance.</t>
  </si>
  <si>
    <t>SC-01</t>
  </si>
  <si>
    <t>CUT OK 3549</t>
  </si>
  <si>
    <t>Margin +4.0%. Thin but positive.</t>
  </si>
  <si>
    <t>CM-01-BL</t>
  </si>
  <si>
    <t>CUT OK 1399</t>
  </si>
  <si>
    <t>Margin +5.8%. Safe.</t>
  </si>
  <si>
    <t>NP-06</t>
  </si>
  <si>
    <t>OPTIONAL 1449</t>
  </si>
  <si>
    <t>Margin +1.4% — thin. Cut only if you want the clearance.</t>
  </si>
  <si>
    <t>ETC-04-WH</t>
  </si>
  <si>
    <t>CUT OK 849</t>
  </si>
  <si>
    <t>Margin +5.6%. Safe.</t>
  </si>
  <si>
    <t>FS-01</t>
  </si>
  <si>
    <t>Cut is loss-making. Hold 1799.</t>
  </si>
  <si>
    <t>AM-W16</t>
  </si>
  <si>
    <t>Cut is loss-making. Hold 1699.</t>
  </si>
  <si>
    <t>AM-C46</t>
  </si>
  <si>
    <t>Cut goes negative. Hold 3549.</t>
  </si>
  <si>
    <t>SS-02</t>
  </si>
  <si>
    <t>Already negative margin; cut worsens it. Hold 2199 / review cost.</t>
  </si>
  <si>
    <t>AM-C1</t>
  </si>
  <si>
    <t>OPTIONAL 2599</t>
  </si>
  <si>
    <t>Margin +1.6% — thin. Optional.</t>
  </si>
  <si>
    <t>VC-01</t>
  </si>
  <si>
    <t>Cut is loss-making. Hold 2099.</t>
  </si>
  <si>
    <t>T-01</t>
  </si>
  <si>
    <t>Cut is loss-making. Hold 999.</t>
  </si>
  <si>
    <t>BR-01</t>
  </si>
  <si>
    <t>CUT OK 1499</t>
  </si>
  <si>
    <t>Margin +19%. Plenty of room; safe.</t>
  </si>
  <si>
    <t>HM-02</t>
  </si>
  <si>
    <t>Margin +18.1%. Safe.</t>
  </si>
  <si>
    <t>TM-03</t>
  </si>
  <si>
    <t>Cut is loss-making. Hold 1049.</t>
  </si>
  <si>
    <t>₹2.5 L Blinkit Ad Spend — allocation (20 days)</t>
  </si>
  <si>
    <t>Spend only on high-SOH, high-ASP movers that will NOT stock out. Assumed blended RoAS ~5.0 (you historically run ~5.35).</t>
  </si>
  <si>
    <t>Rec. SP</t>
  </si>
  <si>
    <t>DRR (u/day)</t>
  </si>
  <si>
    <t>Days cover</t>
  </si>
  <si>
    <t>Spend (₹)</t>
  </si>
  <si>
    <t>% of budget</t>
  </si>
  <si>
    <t>Exp. RoAS</t>
  </si>
  <si>
    <t>Exp. ad-driven gross (₹)</t>
  </si>
  <si>
    <t>Priority</t>
  </si>
  <si>
    <t>High</t>
  </si>
  <si>
    <t>Medium</t>
  </si>
  <si>
    <t>GS-05</t>
  </si>
  <si>
    <t>Low</t>
  </si>
  <si>
    <t>TOTAL</t>
  </si>
  <si>
    <t>Note: ad-driven gross is incremental on existing demand. Even at full RoAS this lifts the push-SKU set ~2–3 L over 20 days — it does NOT bridge to 60 L by itself. Inventory does.</t>
  </si>
  <si>
    <t>Minimum AMPM → Blinkit Inbound to reach ₹60 L</t>
  </si>
  <si>
    <t>Closes the ~5.60 L gap above coast. VALID ONLY IF GRN completes by ~22 Jun (≥8 selling days). If it inwards later, contribution ≈ 0 this quarter.</t>
  </si>
  <si>
    <t>AMPM avail</t>
  </si>
  <si>
    <t>Send units</t>
  </si>
  <si>
    <t>Rec. SP (₹)</t>
  </si>
  <si>
    <t>Sell-through value (₹)</t>
  </si>
  <si>
    <t>Why this SKU</t>
  </si>
  <si>
    <t>Highest proven DRR (2.18) with deep AMPM stock — fastest, most reliable sell-through.</t>
  </si>
  <si>
    <t>Your #1 hero (DRR 4.2). Restocking it removes the single biggest cap on the quarter.</t>
  </si>
  <si>
    <t>Highest ASP (₹4,099) — few units = large gross. Big AMPM buffer.</t>
  </si>
  <si>
    <t>High ASP + healthy margin; tops up the gap.</t>
  </si>
  <si>
    <t>Strong mover, nearly out at Blinkit. Send the lot.</t>
  </si>
  <si>
    <t>≈ closes the 5.60 L gap → ~60 L total</t>
  </si>
  <si>
    <t>Projection with inbound (GRN by 22 Jun):  Coast 54.40 L + ~5.6 L = ~60.0 L  →  SILVER</t>
  </si>
  <si>
    <t>Projection without timely inbound (GRN post 22 Jun):  ~54–56 L  →  BRONZE (Silver missed)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</si>
</sst>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\x"/>
  </numFmts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80808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9C0006"/>
      <name val="Arial"/>
      <family val="2"/>
    </font>
    <font>
      <sz val="11"/>
      <color rgb="FF9C0006"/>
      <name val="Arial"/>
      <family val="2"/>
    </font>
    <font>
      <b/>
      <sz val="13"/>
      <color rgb="FF1F3864"/>
      <name val="Arial"/>
      <family val="2"/>
    </font>
    <font>
      <i/>
      <sz val="9"/>
      <color rgb="FF808080"/>
      <name val="Arial"/>
      <family val="2"/>
    </font>
    <font>
      <sz val="11"/>
      <color rgb="FF006100"/>
      <name val="Arial"/>
      <family val="2"/>
    </font>
    <font>
      <i/>
      <sz val="9"/>
      <color rgb="FF9C0006"/>
      <name val="Arial"/>
      <family val="2"/>
    </font>
    <font>
      <b/>
      <i/>
      <sz val="10"/>
      <color rgb="FF9C0006"/>
      <name val="Arial"/>
      <family val="2"/>
    </font>
    <font>
      <b/>
      <sz val="11"/>
      <color rgb="FF0061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843C0C"/>
        <bgColor rgb="FF99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1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zoomScaleNormal="100" workbookViewId="0"/>
  </sheetViews>
  <sheetFormatPr defaultColWidth="8.6640625" defaultRowHeight="14.4" x14ac:dyDescent="0.3"/>
  <cols>
    <col min="1" max="1" width="2" customWidth="1"/>
    <col min="2" max="2" width="42" customWidth="1"/>
    <col min="3" max="3" width="20" customWidth="1"/>
    <col min="4" max="4" width="46" customWidth="1"/>
  </cols>
  <sheetData>
    <row r="2" spans="2:4" ht="21" x14ac:dyDescent="0.4">
      <c r="B2" s="5" t="s">
        <v>0</v>
      </c>
    </row>
    <row r="3" spans="2:4" x14ac:dyDescent="0.3">
      <c r="B3" s="6" t="s">
        <v>1</v>
      </c>
    </row>
    <row r="5" spans="2:4" x14ac:dyDescent="0.3">
      <c r="B5" s="7" t="s">
        <v>2</v>
      </c>
      <c r="C5" s="7" t="s">
        <v>3</v>
      </c>
      <c r="D5" s="7" t="s">
        <v>4</v>
      </c>
    </row>
    <row r="6" spans="2:4" x14ac:dyDescent="0.3">
      <c r="B6" s="8" t="s">
        <v>5</v>
      </c>
      <c r="C6" s="9" t="s">
        <v>6</v>
      </c>
      <c r="D6" s="10" t="s">
        <v>7</v>
      </c>
    </row>
    <row r="7" spans="2:4" x14ac:dyDescent="0.3">
      <c r="B7" s="8" t="s">
        <v>8</v>
      </c>
      <c r="C7" s="11" t="s">
        <v>9</v>
      </c>
      <c r="D7" s="10" t="s">
        <v>10</v>
      </c>
    </row>
    <row r="8" spans="2:4" x14ac:dyDescent="0.3">
      <c r="B8" s="8" t="s">
        <v>11</v>
      </c>
      <c r="C8" s="11" t="s">
        <v>12</v>
      </c>
      <c r="D8" s="10" t="s">
        <v>13</v>
      </c>
    </row>
    <row r="10" spans="2:4" x14ac:dyDescent="0.3">
      <c r="B10" s="12" t="s">
        <v>14</v>
      </c>
      <c r="C10" s="12" t="s">
        <v>15</v>
      </c>
      <c r="D10" s="12" t="s">
        <v>16</v>
      </c>
    </row>
    <row r="11" spans="2:4" x14ac:dyDescent="0.3">
      <c r="B11" s="8" t="s">
        <v>17</v>
      </c>
      <c r="C11" s="13" t="s">
        <v>6</v>
      </c>
      <c r="D11" s="10" t="s">
        <v>18</v>
      </c>
    </row>
    <row r="12" spans="2:4" x14ac:dyDescent="0.3">
      <c r="B12" s="8" t="s">
        <v>19</v>
      </c>
      <c r="C12" s="13" t="s">
        <v>20</v>
      </c>
      <c r="D12" s="10" t="s">
        <v>21</v>
      </c>
    </row>
    <row r="13" spans="2:4" x14ac:dyDescent="0.3">
      <c r="B13" s="8" t="s">
        <v>22</v>
      </c>
      <c r="C13" s="13" t="s">
        <v>23</v>
      </c>
      <c r="D13" s="10" t="s">
        <v>24</v>
      </c>
    </row>
    <row r="14" spans="2:4" x14ac:dyDescent="0.3">
      <c r="B14" s="8" t="s">
        <v>25</v>
      </c>
      <c r="C14" s="13" t="s">
        <v>26</v>
      </c>
      <c r="D14" s="10"/>
    </row>
    <row r="15" spans="2:4" x14ac:dyDescent="0.3">
      <c r="B15" s="8" t="s">
        <v>27</v>
      </c>
      <c r="C15" s="13" t="s">
        <v>28</v>
      </c>
      <c r="D15" s="10" t="s">
        <v>29</v>
      </c>
    </row>
    <row r="16" spans="2:4" x14ac:dyDescent="0.3">
      <c r="B16" s="8" t="s">
        <v>30</v>
      </c>
      <c r="C16" s="13" t="s">
        <v>31</v>
      </c>
      <c r="D16" s="10" t="s">
        <v>32</v>
      </c>
    </row>
    <row r="18" spans="2:4" x14ac:dyDescent="0.3">
      <c r="B18" s="4" t="s">
        <v>33</v>
      </c>
      <c r="C18" s="4"/>
      <c r="D18" s="4"/>
    </row>
    <row r="19" spans="2:4" ht="69.75" customHeight="1" x14ac:dyDescent="0.3">
      <c r="B19" s="3" t="s">
        <v>34</v>
      </c>
      <c r="C19" s="3"/>
      <c r="D19" s="3"/>
    </row>
    <row r="21" spans="2:4" x14ac:dyDescent="0.3">
      <c r="B21" s="2" t="s">
        <v>35</v>
      </c>
      <c r="C21" s="2"/>
      <c r="D21" s="2"/>
    </row>
    <row r="22" spans="2:4" ht="69.75" customHeight="1" x14ac:dyDescent="0.3">
      <c r="B22" s="1" t="s">
        <v>36</v>
      </c>
      <c r="C22" s="1"/>
      <c r="D22" s="1"/>
    </row>
  </sheetData>
  <mergeCells count="4">
    <mergeCell ref="B18:D18"/>
    <mergeCell ref="B19:D19"/>
    <mergeCell ref="B21:D21"/>
    <mergeCell ref="B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5" width="17" customWidth="1"/>
    <col min="6" max="6" width="15" customWidth="1"/>
    <col min="7" max="7" width="13" customWidth="1"/>
    <col min="8" max="8" width="16" customWidth="1"/>
    <col min="9" max="9" width="44" customWidth="1"/>
  </cols>
  <sheetData>
    <row r="1" spans="1:9" ht="16.8" x14ac:dyDescent="0.3">
      <c r="A1" s="14" t="s">
        <v>37</v>
      </c>
    </row>
    <row r="2" spans="1:9" x14ac:dyDescent="0.3">
      <c r="A2" s="15" t="s">
        <v>38</v>
      </c>
    </row>
    <row r="4" spans="1:9" ht="27.6" x14ac:dyDescent="0.3">
      <c r="A4" s="16" t="s">
        <v>39</v>
      </c>
      <c r="B4" s="16" t="s">
        <v>40</v>
      </c>
      <c r="C4" s="16" t="s">
        <v>41</v>
      </c>
      <c r="D4" s="16" t="s">
        <v>42</v>
      </c>
      <c r="E4" s="16" t="s">
        <v>43</v>
      </c>
      <c r="F4" s="16" t="s">
        <v>44</v>
      </c>
      <c r="G4" s="16" t="s">
        <v>45</v>
      </c>
      <c r="H4" s="16" t="s">
        <v>46</v>
      </c>
      <c r="I4" s="16" t="s">
        <v>47</v>
      </c>
    </row>
    <row r="5" spans="1:9" ht="27.6" x14ac:dyDescent="0.3">
      <c r="A5" s="8" t="s">
        <v>48</v>
      </c>
      <c r="B5" s="17">
        <v>77</v>
      </c>
      <c r="C5" s="18">
        <v>2899</v>
      </c>
      <c r="D5" s="18">
        <v>2899</v>
      </c>
      <c r="E5" s="19">
        <v>0.2</v>
      </c>
      <c r="F5" s="20">
        <v>2899</v>
      </c>
      <c r="G5" s="21">
        <v>0.2</v>
      </c>
      <c r="H5" s="22" t="s">
        <v>49</v>
      </c>
      <c r="I5" s="10" t="s">
        <v>50</v>
      </c>
    </row>
    <row r="6" spans="1:9" ht="27.6" x14ac:dyDescent="0.3">
      <c r="A6" s="8" t="s">
        <v>51</v>
      </c>
      <c r="B6" s="17">
        <v>154</v>
      </c>
      <c r="C6" s="18">
        <v>2249</v>
      </c>
      <c r="D6" s="18">
        <v>2149</v>
      </c>
      <c r="E6" s="23">
        <v>-2E-3</v>
      </c>
      <c r="F6" s="20">
        <v>2249</v>
      </c>
      <c r="G6" s="21">
        <v>0.02</v>
      </c>
      <c r="H6" s="22" t="s">
        <v>49</v>
      </c>
      <c r="I6" s="10" t="s">
        <v>52</v>
      </c>
    </row>
    <row r="7" spans="1:9" ht="27.6" x14ac:dyDescent="0.3">
      <c r="A7" s="8" t="s">
        <v>53</v>
      </c>
      <c r="B7" s="17">
        <v>94</v>
      </c>
      <c r="C7" s="18">
        <v>2899</v>
      </c>
      <c r="D7" s="18">
        <v>2799</v>
      </c>
      <c r="E7" s="19">
        <v>4.2999999999999997E-2</v>
      </c>
      <c r="F7" s="20">
        <v>2899</v>
      </c>
      <c r="G7" s="21">
        <v>0.06</v>
      </c>
      <c r="H7" s="22" t="s">
        <v>49</v>
      </c>
      <c r="I7" s="10" t="s">
        <v>54</v>
      </c>
    </row>
    <row r="8" spans="1:9" x14ac:dyDescent="0.3">
      <c r="A8" s="8" t="s">
        <v>55</v>
      </c>
      <c r="B8" s="17">
        <v>68</v>
      </c>
      <c r="C8" s="18">
        <v>2249</v>
      </c>
      <c r="D8" s="18">
        <v>2149</v>
      </c>
      <c r="E8" s="23">
        <v>-2.3E-2</v>
      </c>
      <c r="F8" s="20">
        <v>2249</v>
      </c>
      <c r="G8" s="21">
        <v>0</v>
      </c>
      <c r="H8" s="22" t="s">
        <v>49</v>
      </c>
      <c r="I8" s="10" t="s">
        <v>56</v>
      </c>
    </row>
    <row r="9" spans="1:9" ht="27.6" x14ac:dyDescent="0.3">
      <c r="A9" s="8" t="s">
        <v>57</v>
      </c>
      <c r="B9" s="17">
        <v>27</v>
      </c>
      <c r="C9" s="18">
        <v>2149</v>
      </c>
      <c r="D9" s="18">
        <v>2099</v>
      </c>
      <c r="E9" s="19">
        <v>7.3999999999999996E-2</v>
      </c>
      <c r="F9" s="20">
        <v>2149</v>
      </c>
      <c r="G9" s="21">
        <v>7.9999999999999905E-2</v>
      </c>
      <c r="H9" s="22" t="s">
        <v>49</v>
      </c>
      <c r="I9" s="10" t="s">
        <v>58</v>
      </c>
    </row>
    <row r="10" spans="1:9" ht="27.6" x14ac:dyDescent="0.3">
      <c r="A10" s="8" t="s">
        <v>59</v>
      </c>
      <c r="B10" s="17">
        <v>170</v>
      </c>
      <c r="C10" s="18">
        <v>899</v>
      </c>
      <c r="D10" s="18">
        <v>829</v>
      </c>
      <c r="E10" s="19">
        <v>1E-3</v>
      </c>
      <c r="F10" s="20">
        <v>899</v>
      </c>
      <c r="G10" s="21">
        <v>5.00000000000001E-2</v>
      </c>
      <c r="H10" s="22" t="s">
        <v>49</v>
      </c>
      <c r="I10" s="10" t="s">
        <v>60</v>
      </c>
    </row>
    <row r="11" spans="1:9" x14ac:dyDescent="0.3">
      <c r="A11" s="8" t="s">
        <v>61</v>
      </c>
      <c r="B11" s="17">
        <v>44</v>
      </c>
      <c r="C11" s="18">
        <v>1649</v>
      </c>
      <c r="D11" s="18">
        <v>1649</v>
      </c>
      <c r="E11" s="19">
        <v>0.14000000000000001</v>
      </c>
      <c r="F11" s="20">
        <v>1649</v>
      </c>
      <c r="G11" s="21">
        <v>0.14000000000000001</v>
      </c>
      <c r="H11" s="22" t="s">
        <v>49</v>
      </c>
      <c r="I11" s="10" t="s">
        <v>62</v>
      </c>
    </row>
    <row r="12" spans="1:9" ht="27.6" x14ac:dyDescent="0.3">
      <c r="A12" s="8" t="s">
        <v>63</v>
      </c>
      <c r="B12" s="17">
        <v>234</v>
      </c>
      <c r="C12" s="18">
        <v>949</v>
      </c>
      <c r="D12" s="18">
        <v>849</v>
      </c>
      <c r="E12" s="23">
        <v>-3.1E-2</v>
      </c>
      <c r="F12" s="24">
        <v>879</v>
      </c>
      <c r="G12" s="23">
        <v>-3.6450511945392498E-2</v>
      </c>
      <c r="H12" s="25" t="s">
        <v>64</v>
      </c>
      <c r="I12" s="10" t="s">
        <v>65</v>
      </c>
    </row>
    <row r="13" spans="1:9" ht="27.6" x14ac:dyDescent="0.3">
      <c r="A13" s="8" t="s">
        <v>66</v>
      </c>
      <c r="B13" s="17">
        <v>74</v>
      </c>
      <c r="C13" s="18">
        <v>5099</v>
      </c>
      <c r="D13" s="18">
        <v>4999</v>
      </c>
      <c r="E13" s="19">
        <v>6.5000000000000002E-2</v>
      </c>
      <c r="F13" s="24">
        <v>4999</v>
      </c>
      <c r="G13" s="21">
        <v>5.1396279255851197E-2</v>
      </c>
      <c r="H13" s="26" t="s">
        <v>67</v>
      </c>
      <c r="I13" s="10" t="s">
        <v>68</v>
      </c>
    </row>
    <row r="14" spans="1:9" ht="27.6" x14ac:dyDescent="0.3">
      <c r="A14" s="8" t="s">
        <v>69</v>
      </c>
      <c r="B14" s="17">
        <v>52</v>
      </c>
      <c r="C14" s="18">
        <v>4799</v>
      </c>
      <c r="D14" s="18">
        <v>4699</v>
      </c>
      <c r="E14" s="19">
        <v>0.14399999999999999</v>
      </c>
      <c r="F14" s="24">
        <v>4699</v>
      </c>
      <c r="G14" s="21">
        <v>0.13191104490317099</v>
      </c>
      <c r="H14" s="26" t="s">
        <v>70</v>
      </c>
      <c r="I14" s="10" t="s">
        <v>71</v>
      </c>
    </row>
    <row r="15" spans="1:9" ht="27.6" x14ac:dyDescent="0.3">
      <c r="A15" s="8" t="s">
        <v>72</v>
      </c>
      <c r="B15" s="17">
        <v>31</v>
      </c>
      <c r="C15" s="18">
        <v>4199</v>
      </c>
      <c r="D15" s="18">
        <v>4099</v>
      </c>
      <c r="E15" s="19">
        <v>0.114</v>
      </c>
      <c r="F15" s="24">
        <v>4099</v>
      </c>
      <c r="G15" s="21">
        <v>0.108775311051476</v>
      </c>
      <c r="H15" s="26" t="s">
        <v>73</v>
      </c>
      <c r="I15" s="10" t="s">
        <v>74</v>
      </c>
    </row>
    <row r="16" spans="1:9" x14ac:dyDescent="0.3">
      <c r="A16" s="8" t="s">
        <v>75</v>
      </c>
      <c r="B16" s="17">
        <v>47</v>
      </c>
      <c r="C16" s="18">
        <v>2999</v>
      </c>
      <c r="D16" s="18">
        <v>2899</v>
      </c>
      <c r="E16" s="19">
        <v>0.127</v>
      </c>
      <c r="F16" s="24">
        <v>2899</v>
      </c>
      <c r="G16" s="21">
        <v>0.11033459813728901</v>
      </c>
      <c r="H16" s="26" t="s">
        <v>76</v>
      </c>
      <c r="I16" s="10" t="s">
        <v>77</v>
      </c>
    </row>
    <row r="17" spans="1:9" x14ac:dyDescent="0.3">
      <c r="A17" s="8" t="s">
        <v>78</v>
      </c>
      <c r="B17" s="17">
        <v>32</v>
      </c>
      <c r="C17" s="18">
        <v>2599</v>
      </c>
      <c r="D17" s="18">
        <v>2499</v>
      </c>
      <c r="E17" s="19">
        <v>0.13400000000000001</v>
      </c>
      <c r="F17" s="24">
        <v>2499</v>
      </c>
      <c r="G17" s="21">
        <v>0.115986394557823</v>
      </c>
      <c r="H17" s="26" t="s">
        <v>79</v>
      </c>
      <c r="I17" s="10" t="s">
        <v>80</v>
      </c>
    </row>
    <row r="18" spans="1:9" ht="27.6" x14ac:dyDescent="0.3">
      <c r="A18" s="8" t="s">
        <v>81</v>
      </c>
      <c r="B18" s="17">
        <v>53</v>
      </c>
      <c r="C18" s="18">
        <v>2099</v>
      </c>
      <c r="D18" s="18">
        <v>2049</v>
      </c>
      <c r="E18" s="19">
        <v>9.4E-2</v>
      </c>
      <c r="F18" s="24">
        <v>2049</v>
      </c>
      <c r="G18" s="21">
        <v>7.8038067349926701E-2</v>
      </c>
      <c r="H18" s="26" t="s">
        <v>82</v>
      </c>
      <c r="I18" s="10" t="s">
        <v>83</v>
      </c>
    </row>
    <row r="19" spans="1:9" x14ac:dyDescent="0.3">
      <c r="A19" s="8" t="s">
        <v>84</v>
      </c>
      <c r="B19" s="17">
        <v>28</v>
      </c>
      <c r="C19" s="18">
        <v>1999</v>
      </c>
      <c r="D19" s="18">
        <v>1899</v>
      </c>
      <c r="E19" s="19">
        <v>6.2E-2</v>
      </c>
      <c r="F19" s="24">
        <v>1899</v>
      </c>
      <c r="G19" s="21">
        <v>4.2080042127435401E-2</v>
      </c>
      <c r="H19" s="26" t="s">
        <v>85</v>
      </c>
      <c r="I19" s="10" t="s">
        <v>86</v>
      </c>
    </row>
    <row r="20" spans="1:9" x14ac:dyDescent="0.3">
      <c r="A20" s="8" t="s">
        <v>87</v>
      </c>
      <c r="B20" s="17">
        <v>106</v>
      </c>
      <c r="C20" s="18">
        <v>1999</v>
      </c>
      <c r="D20" s="18">
        <v>1899</v>
      </c>
      <c r="E20" s="19">
        <v>6.5000000000000002E-2</v>
      </c>
      <c r="F20" s="24">
        <v>1899</v>
      </c>
      <c r="G20" s="21">
        <v>3.1553449183780898E-2</v>
      </c>
      <c r="H20" s="26" t="s">
        <v>85</v>
      </c>
      <c r="I20" s="10" t="s">
        <v>88</v>
      </c>
    </row>
    <row r="21" spans="1:9" x14ac:dyDescent="0.3">
      <c r="A21" s="8" t="s">
        <v>89</v>
      </c>
      <c r="B21" s="17">
        <v>33</v>
      </c>
      <c r="C21" s="18">
        <v>3649</v>
      </c>
      <c r="D21" s="18">
        <v>3549</v>
      </c>
      <c r="E21" s="19">
        <v>0.04</v>
      </c>
      <c r="F21" s="24">
        <v>3549</v>
      </c>
      <c r="G21" s="21">
        <v>2.32318963088195E-2</v>
      </c>
      <c r="H21" s="26" t="s">
        <v>90</v>
      </c>
      <c r="I21" s="10" t="s">
        <v>91</v>
      </c>
    </row>
    <row r="22" spans="1:9" x14ac:dyDescent="0.3">
      <c r="A22" s="8" t="s">
        <v>92</v>
      </c>
      <c r="B22" s="17">
        <v>15</v>
      </c>
      <c r="C22" s="18">
        <v>1499</v>
      </c>
      <c r="D22" s="18">
        <v>1399</v>
      </c>
      <c r="E22" s="19">
        <v>5.8000000000000003E-2</v>
      </c>
      <c r="F22" s="24">
        <v>1399</v>
      </c>
      <c r="G22" s="21">
        <v>3.5668334524660401E-2</v>
      </c>
      <c r="H22" s="26" t="s">
        <v>93</v>
      </c>
      <c r="I22" s="10" t="s">
        <v>94</v>
      </c>
    </row>
    <row r="23" spans="1:9" ht="27.6" x14ac:dyDescent="0.3">
      <c r="A23" s="8" t="s">
        <v>95</v>
      </c>
      <c r="B23" s="17">
        <v>21</v>
      </c>
      <c r="C23" s="18">
        <v>1499</v>
      </c>
      <c r="D23" s="18">
        <v>1449</v>
      </c>
      <c r="E23" s="19">
        <v>1.4E-2</v>
      </c>
      <c r="F23" s="24">
        <v>1449</v>
      </c>
      <c r="G23" s="23">
        <v>-3.4713595583160599E-3</v>
      </c>
      <c r="H23" s="25" t="s">
        <v>96</v>
      </c>
      <c r="I23" s="10" t="s">
        <v>97</v>
      </c>
    </row>
    <row r="24" spans="1:9" x14ac:dyDescent="0.3">
      <c r="A24" s="8" t="s">
        <v>98</v>
      </c>
      <c r="B24" s="17">
        <v>32</v>
      </c>
      <c r="C24" s="18">
        <v>899</v>
      </c>
      <c r="D24" s="18">
        <v>849</v>
      </c>
      <c r="E24" s="19">
        <v>5.6000000000000001E-2</v>
      </c>
      <c r="F24" s="24">
        <v>849</v>
      </c>
      <c r="G24" s="21">
        <v>3.6407538280329797E-2</v>
      </c>
      <c r="H24" s="26" t="s">
        <v>99</v>
      </c>
      <c r="I24" s="10" t="s">
        <v>100</v>
      </c>
    </row>
    <row r="25" spans="1:9" x14ac:dyDescent="0.3">
      <c r="A25" s="8" t="s">
        <v>101</v>
      </c>
      <c r="B25" s="17">
        <v>70</v>
      </c>
      <c r="C25" s="18">
        <v>1799</v>
      </c>
      <c r="D25" s="18">
        <v>1699</v>
      </c>
      <c r="E25" s="23">
        <v>-2.8000000000000001E-2</v>
      </c>
      <c r="F25" s="20">
        <v>1799</v>
      </c>
      <c r="G25" s="21">
        <v>0</v>
      </c>
      <c r="H25" s="22" t="s">
        <v>49</v>
      </c>
      <c r="I25" s="10" t="s">
        <v>102</v>
      </c>
    </row>
    <row r="26" spans="1:9" x14ac:dyDescent="0.3">
      <c r="A26" s="8" t="s">
        <v>103</v>
      </c>
      <c r="B26" s="17">
        <v>50</v>
      </c>
      <c r="C26" s="18">
        <v>1699</v>
      </c>
      <c r="D26" s="18">
        <v>1599</v>
      </c>
      <c r="E26" s="23">
        <v>-1.2E-2</v>
      </c>
      <c r="F26" s="20">
        <v>1699</v>
      </c>
      <c r="G26" s="21">
        <v>0.01</v>
      </c>
      <c r="H26" s="22" t="s">
        <v>49</v>
      </c>
      <c r="I26" s="10" t="s">
        <v>104</v>
      </c>
    </row>
    <row r="27" spans="1:9" x14ac:dyDescent="0.3">
      <c r="A27" s="8" t="s">
        <v>105</v>
      </c>
      <c r="B27" s="17">
        <v>43</v>
      </c>
      <c r="C27" s="18">
        <v>3549</v>
      </c>
      <c r="D27" s="18">
        <v>3499</v>
      </c>
      <c r="E27" s="23">
        <v>-4.0000000000000001E-3</v>
      </c>
      <c r="F27" s="20">
        <v>3549</v>
      </c>
      <c r="G27" s="21">
        <v>0</v>
      </c>
      <c r="H27" s="22" t="s">
        <v>49</v>
      </c>
      <c r="I27" s="10" t="s">
        <v>106</v>
      </c>
    </row>
    <row r="28" spans="1:9" ht="27.6" x14ac:dyDescent="0.3">
      <c r="A28" s="8" t="s">
        <v>107</v>
      </c>
      <c r="B28" s="17">
        <v>29</v>
      </c>
      <c r="C28" s="18">
        <v>2199</v>
      </c>
      <c r="D28" s="18">
        <v>2099</v>
      </c>
      <c r="E28" s="23">
        <v>-5.2999999999999999E-2</v>
      </c>
      <c r="F28" s="20">
        <v>2199</v>
      </c>
      <c r="G28" s="23">
        <v>-3.00000000000001E-2</v>
      </c>
      <c r="H28" s="22" t="s">
        <v>49</v>
      </c>
      <c r="I28" s="10" t="s">
        <v>108</v>
      </c>
    </row>
    <row r="29" spans="1:9" ht="27.6" x14ac:dyDescent="0.3">
      <c r="A29" s="8" t="s">
        <v>109</v>
      </c>
      <c r="B29" s="17">
        <v>29</v>
      </c>
      <c r="C29" s="18">
        <v>2699</v>
      </c>
      <c r="D29" s="18">
        <v>2599</v>
      </c>
      <c r="E29" s="19">
        <v>1.6E-2</v>
      </c>
      <c r="F29" s="24">
        <v>2599</v>
      </c>
      <c r="G29" s="21">
        <v>3.0627164293959399E-3</v>
      </c>
      <c r="H29" s="25" t="s">
        <v>110</v>
      </c>
      <c r="I29" s="10" t="s">
        <v>111</v>
      </c>
    </row>
    <row r="30" spans="1:9" x14ac:dyDescent="0.3">
      <c r="A30" s="8" t="s">
        <v>112</v>
      </c>
      <c r="B30" s="17">
        <v>25</v>
      </c>
      <c r="C30" s="18">
        <v>2099</v>
      </c>
      <c r="D30" s="18">
        <v>1999</v>
      </c>
      <c r="E30" s="23">
        <v>-0.02</v>
      </c>
      <c r="F30" s="20">
        <v>2099</v>
      </c>
      <c r="G30" s="21">
        <v>1.0000000000000101E-2</v>
      </c>
      <c r="H30" s="22" t="s">
        <v>49</v>
      </c>
      <c r="I30" s="10" t="s">
        <v>113</v>
      </c>
    </row>
    <row r="31" spans="1:9" x14ac:dyDescent="0.3">
      <c r="A31" s="8" t="s">
        <v>114</v>
      </c>
      <c r="B31" s="17">
        <v>18</v>
      </c>
      <c r="C31" s="18">
        <v>999</v>
      </c>
      <c r="D31" s="18">
        <v>949</v>
      </c>
      <c r="E31" s="23">
        <v>-1.4E-2</v>
      </c>
      <c r="F31" s="20">
        <v>999</v>
      </c>
      <c r="G31" s="21">
        <v>0.02</v>
      </c>
      <c r="H31" s="22" t="s">
        <v>49</v>
      </c>
      <c r="I31" s="10" t="s">
        <v>115</v>
      </c>
    </row>
    <row r="32" spans="1:9" x14ac:dyDescent="0.3">
      <c r="A32" s="8" t="s">
        <v>116</v>
      </c>
      <c r="B32" s="17">
        <v>16</v>
      </c>
      <c r="C32" s="18">
        <v>1598</v>
      </c>
      <c r="D32" s="18">
        <v>1499</v>
      </c>
      <c r="E32" s="19">
        <v>0.19</v>
      </c>
      <c r="F32" s="24">
        <v>1499</v>
      </c>
      <c r="G32" s="21">
        <v>0.13650433622414901</v>
      </c>
      <c r="H32" s="26" t="s">
        <v>117</v>
      </c>
      <c r="I32" s="10" t="s">
        <v>118</v>
      </c>
    </row>
    <row r="33" spans="1:9" x14ac:dyDescent="0.3">
      <c r="A33" s="8" t="s">
        <v>119</v>
      </c>
      <c r="B33" s="17">
        <v>14</v>
      </c>
      <c r="C33" s="18">
        <v>2099</v>
      </c>
      <c r="D33" s="18">
        <v>2049</v>
      </c>
      <c r="E33" s="19">
        <v>0.18099999999999999</v>
      </c>
      <c r="F33" s="24">
        <v>2049</v>
      </c>
      <c r="G33" s="21">
        <v>0.17023426061493399</v>
      </c>
      <c r="H33" s="26" t="s">
        <v>82</v>
      </c>
      <c r="I33" s="10" t="s">
        <v>120</v>
      </c>
    </row>
    <row r="34" spans="1:9" x14ac:dyDescent="0.3">
      <c r="A34" s="8" t="s">
        <v>121</v>
      </c>
      <c r="B34" s="17">
        <v>12</v>
      </c>
      <c r="C34" s="18">
        <v>1049</v>
      </c>
      <c r="D34" s="18">
        <v>999</v>
      </c>
      <c r="E34" s="23">
        <v>-2.4E-2</v>
      </c>
      <c r="F34" s="20">
        <v>1049</v>
      </c>
      <c r="G34" s="21">
        <v>0.01</v>
      </c>
      <c r="H34" s="22" t="s">
        <v>49</v>
      </c>
      <c r="I34" s="10" t="s">
        <v>122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1" customWidth="1"/>
    <col min="4" max="5" width="12" customWidth="1"/>
    <col min="6" max="6" width="13" customWidth="1"/>
    <col min="7" max="7" width="12" customWidth="1"/>
    <col min="8" max="8" width="11" customWidth="1"/>
    <col min="9" max="9" width="22" customWidth="1"/>
    <col min="10" max="10" width="14" customWidth="1"/>
  </cols>
  <sheetData>
    <row r="1" spans="1:10" ht="16.8" x14ac:dyDescent="0.3">
      <c r="A1" s="14" t="s">
        <v>123</v>
      </c>
    </row>
    <row r="2" spans="1:10" x14ac:dyDescent="0.3">
      <c r="A2" s="15" t="s">
        <v>124</v>
      </c>
    </row>
    <row r="4" spans="1:10" ht="27.6" x14ac:dyDescent="0.3">
      <c r="A4" s="16" t="s">
        <v>39</v>
      </c>
      <c r="B4" s="16" t="s">
        <v>40</v>
      </c>
      <c r="C4" s="16" t="s">
        <v>125</v>
      </c>
      <c r="D4" s="16" t="s">
        <v>126</v>
      </c>
      <c r="E4" s="16" t="s">
        <v>127</v>
      </c>
      <c r="F4" s="16" t="s">
        <v>128</v>
      </c>
      <c r="G4" s="16" t="s">
        <v>129</v>
      </c>
      <c r="H4" s="16" t="s">
        <v>130</v>
      </c>
      <c r="I4" s="16" t="s">
        <v>131</v>
      </c>
      <c r="J4" s="16" t="s">
        <v>132</v>
      </c>
    </row>
    <row r="5" spans="1:10" x14ac:dyDescent="0.3">
      <c r="A5" s="8" t="s">
        <v>51</v>
      </c>
      <c r="B5" s="17">
        <v>154</v>
      </c>
      <c r="C5" s="18">
        <v>2149</v>
      </c>
      <c r="D5" s="27">
        <v>2.1800000000000002</v>
      </c>
      <c r="E5" s="17">
        <v>71</v>
      </c>
      <c r="F5" s="28">
        <v>55000</v>
      </c>
      <c r="G5" s="19">
        <f t="shared" ref="G5:G14" si="0">F5/$F$15</f>
        <v>0.22</v>
      </c>
      <c r="H5" s="29">
        <v>5</v>
      </c>
      <c r="I5" s="18">
        <f t="shared" ref="I5:I14" si="1">F5*H5</f>
        <v>275000</v>
      </c>
      <c r="J5" s="11" t="s">
        <v>133</v>
      </c>
    </row>
    <row r="6" spans="1:10" x14ac:dyDescent="0.3">
      <c r="A6" s="8" t="s">
        <v>72</v>
      </c>
      <c r="B6" s="17">
        <v>31</v>
      </c>
      <c r="C6" s="18">
        <v>4099</v>
      </c>
      <c r="D6" s="27">
        <v>0.27</v>
      </c>
      <c r="E6" s="17">
        <v>115</v>
      </c>
      <c r="F6" s="28">
        <v>25000</v>
      </c>
      <c r="G6" s="19">
        <f t="shared" si="0"/>
        <v>0.1</v>
      </c>
      <c r="H6" s="29">
        <v>5</v>
      </c>
      <c r="I6" s="18">
        <f t="shared" si="1"/>
        <v>125000</v>
      </c>
      <c r="J6" s="11" t="s">
        <v>133</v>
      </c>
    </row>
    <row r="7" spans="1:10" x14ac:dyDescent="0.3">
      <c r="A7" s="8" t="s">
        <v>69</v>
      </c>
      <c r="B7" s="17">
        <v>52</v>
      </c>
      <c r="C7" s="18">
        <v>4699</v>
      </c>
      <c r="D7" s="27">
        <v>0.13</v>
      </c>
      <c r="E7" s="17">
        <v>400</v>
      </c>
      <c r="F7" s="28">
        <v>30000</v>
      </c>
      <c r="G7" s="19">
        <f t="shared" si="0"/>
        <v>0.12</v>
      </c>
      <c r="H7" s="29">
        <v>5</v>
      </c>
      <c r="I7" s="18">
        <f t="shared" si="1"/>
        <v>150000</v>
      </c>
      <c r="J7" s="11" t="s">
        <v>133</v>
      </c>
    </row>
    <row r="8" spans="1:10" x14ac:dyDescent="0.3">
      <c r="A8" s="8" t="s">
        <v>66</v>
      </c>
      <c r="B8" s="17">
        <v>74</v>
      </c>
      <c r="C8" s="18">
        <v>4999</v>
      </c>
      <c r="D8" s="27">
        <v>0.31</v>
      </c>
      <c r="E8" s="17">
        <v>239</v>
      </c>
      <c r="F8" s="28">
        <v>35000</v>
      </c>
      <c r="G8" s="19">
        <f t="shared" si="0"/>
        <v>0.14000000000000001</v>
      </c>
      <c r="H8" s="29">
        <v>5</v>
      </c>
      <c r="I8" s="18">
        <f t="shared" si="1"/>
        <v>175000</v>
      </c>
      <c r="J8" s="11" t="s">
        <v>133</v>
      </c>
    </row>
    <row r="9" spans="1:10" x14ac:dyDescent="0.3">
      <c r="A9" s="8" t="s">
        <v>53</v>
      </c>
      <c r="B9" s="17">
        <v>94</v>
      </c>
      <c r="C9" s="18">
        <v>2899</v>
      </c>
      <c r="D9" s="27">
        <v>1.55</v>
      </c>
      <c r="E9" s="17">
        <v>61</v>
      </c>
      <c r="F9" s="28">
        <v>30000</v>
      </c>
      <c r="G9" s="19">
        <f t="shared" si="0"/>
        <v>0.12</v>
      </c>
      <c r="H9" s="29">
        <v>5</v>
      </c>
      <c r="I9" s="18">
        <f t="shared" si="1"/>
        <v>150000</v>
      </c>
      <c r="J9" s="11" t="s">
        <v>133</v>
      </c>
    </row>
    <row r="10" spans="1:10" x14ac:dyDescent="0.3">
      <c r="A10" s="8" t="s">
        <v>75</v>
      </c>
      <c r="B10" s="17">
        <v>47</v>
      </c>
      <c r="C10" s="18">
        <v>2899</v>
      </c>
      <c r="D10" s="27">
        <v>0.35</v>
      </c>
      <c r="E10" s="17">
        <v>134</v>
      </c>
      <c r="F10" s="28">
        <v>20000</v>
      </c>
      <c r="G10" s="19">
        <f t="shared" si="0"/>
        <v>0.08</v>
      </c>
      <c r="H10" s="29">
        <v>5</v>
      </c>
      <c r="I10" s="18">
        <f t="shared" si="1"/>
        <v>100000</v>
      </c>
      <c r="J10" s="13" t="s">
        <v>134</v>
      </c>
    </row>
    <row r="11" spans="1:10" x14ac:dyDescent="0.3">
      <c r="A11" s="8" t="s">
        <v>135</v>
      </c>
      <c r="B11" s="17">
        <v>122</v>
      </c>
      <c r="C11" s="18">
        <v>1949</v>
      </c>
      <c r="D11" s="27">
        <v>0.97</v>
      </c>
      <c r="E11" s="17">
        <v>126</v>
      </c>
      <c r="F11" s="28">
        <v>20000</v>
      </c>
      <c r="G11" s="19">
        <f t="shared" si="0"/>
        <v>0.08</v>
      </c>
      <c r="H11" s="29">
        <v>5</v>
      </c>
      <c r="I11" s="18">
        <f t="shared" si="1"/>
        <v>100000</v>
      </c>
      <c r="J11" s="13" t="s">
        <v>134</v>
      </c>
    </row>
    <row r="12" spans="1:10" x14ac:dyDescent="0.3">
      <c r="A12" s="8" t="s">
        <v>87</v>
      </c>
      <c r="B12" s="17">
        <v>106</v>
      </c>
      <c r="C12" s="18">
        <v>1899</v>
      </c>
      <c r="D12" s="27">
        <v>0.3</v>
      </c>
      <c r="E12" s="17">
        <v>353</v>
      </c>
      <c r="F12" s="28">
        <v>15000</v>
      </c>
      <c r="G12" s="19">
        <f t="shared" si="0"/>
        <v>0.06</v>
      </c>
      <c r="H12" s="29">
        <v>5</v>
      </c>
      <c r="I12" s="18">
        <f t="shared" si="1"/>
        <v>75000</v>
      </c>
      <c r="J12" s="13" t="s">
        <v>134</v>
      </c>
    </row>
    <row r="13" spans="1:10" x14ac:dyDescent="0.3">
      <c r="A13" s="8" t="s">
        <v>78</v>
      </c>
      <c r="B13" s="17">
        <v>32</v>
      </c>
      <c r="C13" s="18">
        <v>2499</v>
      </c>
      <c r="D13" s="27">
        <v>0.56000000000000005</v>
      </c>
      <c r="E13" s="17">
        <v>57</v>
      </c>
      <c r="F13" s="28">
        <v>10000</v>
      </c>
      <c r="G13" s="19">
        <f t="shared" si="0"/>
        <v>0.04</v>
      </c>
      <c r="H13" s="29">
        <v>5</v>
      </c>
      <c r="I13" s="18">
        <f t="shared" si="1"/>
        <v>50000</v>
      </c>
      <c r="J13" s="13" t="s">
        <v>134</v>
      </c>
    </row>
    <row r="14" spans="1:10" x14ac:dyDescent="0.3">
      <c r="A14" s="8" t="s">
        <v>81</v>
      </c>
      <c r="B14" s="17">
        <v>53</v>
      </c>
      <c r="C14" s="18">
        <v>2049</v>
      </c>
      <c r="D14" s="27">
        <v>0.41</v>
      </c>
      <c r="E14" s="17">
        <v>129</v>
      </c>
      <c r="F14" s="28">
        <v>10000</v>
      </c>
      <c r="G14" s="19">
        <f t="shared" si="0"/>
        <v>0.04</v>
      </c>
      <c r="H14" s="29">
        <v>5</v>
      </c>
      <c r="I14" s="18">
        <f t="shared" si="1"/>
        <v>50000</v>
      </c>
      <c r="J14" s="30" t="s">
        <v>136</v>
      </c>
    </row>
    <row r="15" spans="1:10" x14ac:dyDescent="0.3">
      <c r="A15" s="12" t="s">
        <v>137</v>
      </c>
      <c r="B15" s="31"/>
      <c r="C15" s="31"/>
      <c r="D15" s="31"/>
      <c r="E15" s="31"/>
      <c r="F15" s="32">
        <f>SUM(F5:F14)</f>
        <v>250000</v>
      </c>
      <c r="G15" s="33">
        <f>SUM(G5:G14)</f>
        <v>1</v>
      </c>
      <c r="H15" s="31"/>
      <c r="I15" s="32">
        <f>SUM(I5:I14)</f>
        <v>1250000</v>
      </c>
      <c r="J15" s="31"/>
    </row>
    <row r="17" spans="1:1" x14ac:dyDescent="0.3">
      <c r="A17" s="34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4" width="13" customWidth="1"/>
    <col min="5" max="5" width="22" customWidth="1"/>
    <col min="6" max="6" width="46" customWidth="1"/>
  </cols>
  <sheetData>
    <row r="1" spans="1:6" ht="16.8" x14ac:dyDescent="0.3">
      <c r="A1" s="14" t="s">
        <v>139</v>
      </c>
    </row>
    <row r="2" spans="1:6" x14ac:dyDescent="0.3">
      <c r="A2" s="35" t="s">
        <v>140</v>
      </c>
    </row>
    <row r="4" spans="1:6" ht="27.6" x14ac:dyDescent="0.3">
      <c r="A4" s="16" t="s">
        <v>39</v>
      </c>
      <c r="B4" s="16" t="s">
        <v>141</v>
      </c>
      <c r="C4" s="16" t="s">
        <v>142</v>
      </c>
      <c r="D4" s="16" t="s">
        <v>143</v>
      </c>
      <c r="E4" s="16" t="s">
        <v>144</v>
      </c>
      <c r="F4" s="16" t="s">
        <v>145</v>
      </c>
    </row>
    <row r="5" spans="1:6" ht="27.6" x14ac:dyDescent="0.3">
      <c r="A5" s="8" t="s">
        <v>51</v>
      </c>
      <c r="B5" s="17">
        <v>115</v>
      </c>
      <c r="C5" s="13">
        <v>115</v>
      </c>
      <c r="D5" s="18">
        <v>2149</v>
      </c>
      <c r="E5" s="18">
        <f>C5*D5</f>
        <v>247135</v>
      </c>
      <c r="F5" s="10" t="s">
        <v>146</v>
      </c>
    </row>
    <row r="6" spans="1:6" ht="27.6" x14ac:dyDescent="0.3">
      <c r="A6" s="8" t="s">
        <v>48</v>
      </c>
      <c r="B6" s="17">
        <v>41</v>
      </c>
      <c r="C6" s="13">
        <v>41</v>
      </c>
      <c r="D6" s="18">
        <v>2899</v>
      </c>
      <c r="E6" s="18">
        <f>C6*D6</f>
        <v>118859</v>
      </c>
      <c r="F6" s="10" t="s">
        <v>147</v>
      </c>
    </row>
    <row r="7" spans="1:6" ht="27.6" x14ac:dyDescent="0.3">
      <c r="A7" s="8" t="s">
        <v>72</v>
      </c>
      <c r="B7" s="17">
        <v>587</v>
      </c>
      <c r="C7" s="13">
        <v>38</v>
      </c>
      <c r="D7" s="18">
        <v>4099</v>
      </c>
      <c r="E7" s="18">
        <f>C7*D7</f>
        <v>155762</v>
      </c>
      <c r="F7" s="10" t="s">
        <v>148</v>
      </c>
    </row>
    <row r="8" spans="1:6" x14ac:dyDescent="0.3">
      <c r="A8" s="8" t="s">
        <v>75</v>
      </c>
      <c r="B8" s="17">
        <v>42</v>
      </c>
      <c r="C8" s="13">
        <v>15</v>
      </c>
      <c r="D8" s="18">
        <v>2899</v>
      </c>
      <c r="E8" s="18">
        <f>C8*D8</f>
        <v>43485</v>
      </c>
      <c r="F8" s="10" t="s">
        <v>149</v>
      </c>
    </row>
    <row r="9" spans="1:6" x14ac:dyDescent="0.3">
      <c r="A9" s="8" t="s">
        <v>53</v>
      </c>
      <c r="B9" s="17">
        <v>9</v>
      </c>
      <c r="C9" s="13">
        <v>9</v>
      </c>
      <c r="D9" s="18">
        <v>2899</v>
      </c>
      <c r="E9" s="18">
        <f>C9*D9</f>
        <v>26091</v>
      </c>
      <c r="F9" s="10" t="s">
        <v>150</v>
      </c>
    </row>
    <row r="10" spans="1:6" x14ac:dyDescent="0.3">
      <c r="A10" s="12" t="s">
        <v>137</v>
      </c>
      <c r="B10" s="31"/>
      <c r="C10" s="36">
        <f>SUM(C5:C9)</f>
        <v>218</v>
      </c>
      <c r="D10" s="31"/>
      <c r="E10" s="32">
        <f>SUM(E5:E9)</f>
        <v>591332</v>
      </c>
      <c r="F10" s="37" t="s">
        <v>151</v>
      </c>
    </row>
    <row r="12" spans="1:6" x14ac:dyDescent="0.3">
      <c r="A12" s="38" t="s">
        <v>152</v>
      </c>
    </row>
    <row r="13" spans="1:6" x14ac:dyDescent="0.3">
      <c r="A13" s="39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Price Plan (margin-safe)</vt:lpstr>
      <vt:lpstr>Ad Spend Split (2.5L)</vt:lpstr>
      <vt:lpstr>Inbound Plan (to hit 60L)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2026-06-11T10:04:09Z</dcterms:created>
  <dcterms:modified xsi:type="dcterms:W3CDTF">2026-06-11T10:05:49Z</dcterms:modified>
  <dc:language>en-US</dc:language>
</cp:coreProperties>
</file>