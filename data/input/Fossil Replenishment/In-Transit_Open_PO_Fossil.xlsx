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BEFFB81B-6501-4CE8-9D9C-2EA8ED7CBA1F}" xr6:coauthVersionLast="47" xr6:coauthVersionMax="47" xr10:uidLastSave="{00000000-0000-0000-0000-000000000000}"/>
  <bookViews>
    <workbookView xWindow="-108" yWindow="-108" windowWidth="23256" windowHeight="12456" xr2:uid="{7D8DA65D-B779-44B4-89F3-D67DE71DDA05}"/>
  </bookViews>
  <sheets>
    <sheet name="Sheet1" sheetId="1" r:id="rId1"/>
  </sheets>
  <definedNames>
    <definedName name="_xlnm._FilterDatabase" localSheetId="0" hidden="1">Sheet1!$A$1:$AA$1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2" i="1" l="1"/>
  <c r="Z32" i="1" s="1"/>
  <c r="D32" i="1"/>
  <c r="O31" i="1"/>
  <c r="Y31" i="1" s="1"/>
  <c r="D31" i="1"/>
  <c r="O30" i="1"/>
  <c r="Z30" i="1" s="1"/>
  <c r="D30" i="1"/>
  <c r="O29" i="1"/>
  <c r="Z29" i="1" s="1"/>
  <c r="D29" i="1"/>
  <c r="O28" i="1"/>
  <c r="Z28" i="1" s="1"/>
  <c r="D28" i="1"/>
  <c r="O27" i="1"/>
  <c r="Z27" i="1" s="1"/>
  <c r="D27" i="1"/>
  <c r="O26" i="1"/>
  <c r="Z26" i="1" s="1"/>
  <c r="D26" i="1"/>
  <c r="O25" i="1"/>
  <c r="Z25" i="1" s="1"/>
  <c r="D25" i="1"/>
  <c r="O24" i="1"/>
  <c r="Z24" i="1" s="1"/>
  <c r="D24" i="1"/>
  <c r="O23" i="1"/>
  <c r="Z23" i="1" s="1"/>
  <c r="D23" i="1"/>
  <c r="O22" i="1"/>
  <c r="Z22" i="1" s="1"/>
  <c r="D22" i="1"/>
  <c r="O21" i="1"/>
  <c r="Z21" i="1" s="1"/>
  <c r="D21" i="1"/>
  <c r="O20" i="1"/>
  <c r="Z20" i="1" s="1"/>
  <c r="D20" i="1"/>
  <c r="O19" i="1"/>
  <c r="Z19" i="1" s="1"/>
  <c r="D19" i="1"/>
  <c r="O18" i="1"/>
  <c r="Z18" i="1" s="1"/>
  <c r="D18" i="1"/>
  <c r="O17" i="1"/>
  <c r="Z17" i="1" s="1"/>
  <c r="D17" i="1"/>
  <c r="O16" i="1"/>
  <c r="Z16" i="1" s="1"/>
  <c r="D16" i="1"/>
  <c r="O15" i="1"/>
  <c r="Z15" i="1" s="1"/>
  <c r="D15" i="1"/>
  <c r="O14" i="1"/>
  <c r="Z14" i="1" s="1"/>
  <c r="D14" i="1"/>
  <c r="O13" i="1"/>
  <c r="Z13" i="1" s="1"/>
  <c r="D13" i="1"/>
  <c r="O12" i="1"/>
  <c r="Z12" i="1" s="1"/>
  <c r="D12" i="1"/>
  <c r="O11" i="1"/>
  <c r="Z11" i="1" s="1"/>
  <c r="D11" i="1"/>
  <c r="O10" i="1"/>
  <c r="Z10" i="1" s="1"/>
  <c r="D10" i="1"/>
  <c r="O9" i="1"/>
  <c r="Y9" i="1" s="1"/>
  <c r="D9" i="1"/>
  <c r="O8" i="1"/>
  <c r="Z8" i="1" s="1"/>
  <c r="D8" i="1"/>
  <c r="O7" i="1"/>
  <c r="Z7" i="1" s="1"/>
  <c r="D7" i="1"/>
  <c r="O6" i="1"/>
  <c r="Z6" i="1" s="1"/>
  <c r="D6" i="1"/>
  <c r="O5" i="1"/>
  <c r="Y5" i="1" s="1"/>
  <c r="D5" i="1"/>
  <c r="O4" i="1"/>
  <c r="Z4" i="1" s="1"/>
  <c r="D4" i="1"/>
  <c r="O3" i="1"/>
  <c r="Z3" i="1" s="1"/>
  <c r="D3" i="1"/>
  <c r="O2" i="1"/>
  <c r="Z2" i="1" s="1"/>
  <c r="D2" i="1"/>
  <c r="Y3" i="1" l="1"/>
  <c r="Y7" i="1"/>
  <c r="Y11" i="1"/>
  <c r="Y15" i="1"/>
  <c r="Y19" i="1"/>
  <c r="Y23" i="1"/>
  <c r="Y27" i="1"/>
  <c r="Y29" i="1"/>
  <c r="Z5" i="1"/>
  <c r="Z9" i="1"/>
  <c r="Z31" i="1"/>
  <c r="Y13" i="1"/>
  <c r="Y17" i="1"/>
  <c r="Y21" i="1"/>
  <c r="Y25" i="1"/>
  <c r="Y2" i="1"/>
  <c r="Y4" i="1"/>
  <c r="Y6" i="1"/>
  <c r="Y8" i="1"/>
  <c r="Y10" i="1"/>
  <c r="Y12" i="1"/>
  <c r="Y14" i="1"/>
  <c r="Y16" i="1"/>
  <c r="Y18" i="1"/>
  <c r="Y20" i="1"/>
  <c r="Y22" i="1"/>
  <c r="Y24" i="1"/>
  <c r="Y26" i="1"/>
  <c r="Y28" i="1"/>
  <c r="Y30" i="1"/>
  <c r="Y32" i="1"/>
</calcChain>
</file>

<file path=xl/sharedStrings.xml><?xml version="1.0" encoding="utf-8"?>
<sst xmlns="http://schemas.openxmlformats.org/spreadsheetml/2006/main" count="412" uniqueCount="101">
  <si>
    <t>PO Number</t>
  </si>
  <si>
    <t>Date of PO Release</t>
  </si>
  <si>
    <t>Month of PO Release</t>
  </si>
  <si>
    <t>Reference</t>
  </si>
  <si>
    <t>PO Number 2</t>
  </si>
  <si>
    <t>FC</t>
  </si>
  <si>
    <t>SKU</t>
  </si>
  <si>
    <t>Assortment</t>
  </si>
  <si>
    <t>Brand</t>
  </si>
  <si>
    <t>PO Qty</t>
  </si>
  <si>
    <t>MRP</t>
  </si>
  <si>
    <t>DP</t>
  </si>
  <si>
    <t>NLC</t>
  </si>
  <si>
    <t>GST%</t>
  </si>
  <si>
    <t>HSN</t>
  </si>
  <si>
    <t>Packing List Qty</t>
  </si>
  <si>
    <t>PO fulfillment Remark</t>
  </si>
  <si>
    <t>Shipment ID</t>
  </si>
  <si>
    <t>Invoice Number</t>
  </si>
  <si>
    <t>Invoice Date</t>
  </si>
  <si>
    <t>Appointment Date (if in transit)</t>
  </si>
  <si>
    <t>Fossil Remark (if any discrepancy)</t>
  </si>
  <si>
    <t>PO Value at NLC</t>
  </si>
  <si>
    <t>Invoice Value at NLC</t>
  </si>
  <si>
    <t>Additional Remark (if any)</t>
  </si>
  <si>
    <t>Full Price</t>
  </si>
  <si>
    <t>Fossil</t>
  </si>
  <si>
    <t>In-Transit</t>
  </si>
  <si>
    <t>Armani Exchange</t>
  </si>
  <si>
    <t>91021100</t>
  </si>
  <si>
    <t>FBS74257</t>
  </si>
  <si>
    <t>MK6485</t>
  </si>
  <si>
    <t>Michael Kors</t>
  </si>
  <si>
    <t>FBA79883</t>
  </si>
  <si>
    <t>FS6132</t>
  </si>
  <si>
    <t>Emporio Armani</t>
  </si>
  <si>
    <t>FBA79933</t>
  </si>
  <si>
    <t>ES5452</t>
  </si>
  <si>
    <t>FBA79940</t>
  </si>
  <si>
    <t>FS6150</t>
  </si>
  <si>
    <t>FBA79755</t>
  </si>
  <si>
    <t>FS6113</t>
  </si>
  <si>
    <t>FBA79324</t>
  </si>
  <si>
    <t>ES5329</t>
  </si>
  <si>
    <t>Item No</t>
  </si>
  <si>
    <t>FBA79929</t>
  </si>
  <si>
    <t>ES5439</t>
  </si>
  <si>
    <t>FBO75153</t>
  </si>
  <si>
    <t>FS5855</t>
  </si>
  <si>
    <t>FBA79750</t>
  </si>
  <si>
    <t>FS6108</t>
  </si>
  <si>
    <t>FBA79527</t>
  </si>
  <si>
    <t>ES5361</t>
  </si>
  <si>
    <t>FBS79558</t>
  </si>
  <si>
    <t>MK9179</t>
  </si>
  <si>
    <t>FBA80095</t>
  </si>
  <si>
    <t>AX1746</t>
  </si>
  <si>
    <t>FBA79529</t>
  </si>
  <si>
    <t>ES5363</t>
  </si>
  <si>
    <t>FBA79885</t>
  </si>
  <si>
    <t>ME3270</t>
  </si>
  <si>
    <t>FBA80025</t>
  </si>
  <si>
    <t>AX1971</t>
  </si>
  <si>
    <t>FBA79930</t>
  </si>
  <si>
    <t>ES5443</t>
  </si>
  <si>
    <t>FBA79931</t>
  </si>
  <si>
    <t>ES5444</t>
  </si>
  <si>
    <t>May PO's</t>
  </si>
  <si>
    <t>DED3</t>
  </si>
  <si>
    <t>FBS71628</t>
  </si>
  <si>
    <t>ES4628</t>
  </si>
  <si>
    <t>FBA79640</t>
  </si>
  <si>
    <t>FS6090</t>
  </si>
  <si>
    <t>FBA79746</t>
  </si>
  <si>
    <t>FS6104</t>
  </si>
  <si>
    <t>FBA80046</t>
  </si>
  <si>
    <t>FS6163</t>
  </si>
  <si>
    <t>PO/HR/010/26-27</t>
  </si>
  <si>
    <t>Fossil PO 1281</t>
  </si>
  <si>
    <t>FBA15LR5PDC6</t>
  </si>
  <si>
    <t>BLA0168993</t>
  </si>
  <si>
    <t>FBA80041</t>
  </si>
  <si>
    <t>ES5455</t>
  </si>
  <si>
    <t>FBA80038</t>
  </si>
  <si>
    <t>AR11755</t>
  </si>
  <si>
    <t>FBA80060</t>
  </si>
  <si>
    <t>AR11757</t>
  </si>
  <si>
    <t>FBA79884</t>
  </si>
  <si>
    <t>FS6133</t>
  </si>
  <si>
    <t>FBS66640</t>
  </si>
  <si>
    <t>FS4813</t>
  </si>
  <si>
    <t>FBS69614</t>
  </si>
  <si>
    <t>MK3190</t>
  </si>
  <si>
    <t>FBS79224</t>
  </si>
  <si>
    <t>ME3254</t>
  </si>
  <si>
    <t>FBO76876</t>
  </si>
  <si>
    <t>ME3154</t>
  </si>
  <si>
    <t>FBA79742</t>
  </si>
  <si>
    <t>ES5399</t>
  </si>
  <si>
    <t>FBA79753</t>
  </si>
  <si>
    <t>FS6111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</si>
</sst>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43" formatCode="_ * #,##0.00_ ;_ * \-#,##0.00_ ;_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4" fontId="3" fillId="2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4" fontId="4" fillId="0" borderId="1" xfId="1" applyFont="1" applyBorder="1" applyAlignment="1">
      <alignment horizontal="center" vertical="center"/>
    </xf>
    <xf numFmtId="44" fontId="0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0EA74-04A4-4B1E-92E9-B9F100D395D0}">
  <dimension ref="A1:AA32"/>
  <sheetViews>
    <sheetView tabSelected="1" workbookViewId="0"/>
  </sheetViews>
  <sheetFormatPr defaultRowHeight="15" customHeight="1" x14ac:dyDescent="0.3"/>
  <cols>
    <col min="1" max="1" width="17.88671875" bestFit="1" customWidth="1"/>
    <col min="2" max="2" width="16.33203125" bestFit="1" customWidth="1"/>
    <col min="3" max="3" width="18" bestFit="1" customWidth="1"/>
    <col min="4" max="4" width="25.88671875" bestFit="1" customWidth="1"/>
    <col min="5" max="5" width="12.6640625" bestFit="1" customWidth="1"/>
    <col min="6" max="6" width="7.33203125" bestFit="1" customWidth="1"/>
    <col min="7" max="7" width="9.33203125" bestFit="1" customWidth="1"/>
    <col min="8" max="8" width="17.88671875" bestFit="1" customWidth="1"/>
    <col min="9" max="9" width="10.21875" bestFit="1" customWidth="1"/>
    <col min="10" max="10" width="13.109375" bestFit="1" customWidth="1"/>
    <col min="11" max="11" width="15" bestFit="1" customWidth="1"/>
    <col min="12" max="12" width="11.109375" bestFit="1" customWidth="1"/>
    <col min="13" max="13" width="6" bestFit="1" customWidth="1"/>
    <col min="14" max="14" width="9.88671875" bestFit="1" customWidth="1"/>
    <col min="15" max="15" width="6" bestFit="1" customWidth="1"/>
    <col min="16" max="16" width="5.33203125" bestFit="1" customWidth="1"/>
    <col min="17" max="17" width="9" bestFit="1" customWidth="1"/>
    <col min="18" max="18" width="17.88671875" bestFit="1" customWidth="1"/>
    <col min="19" max="19" width="18.6640625" bestFit="1" customWidth="1"/>
    <col min="20" max="20" width="14.109375" bestFit="1" customWidth="1"/>
    <col min="21" max="21" width="13.6640625" bestFit="1" customWidth="1"/>
    <col min="22" max="22" width="10.88671875" bestFit="1" customWidth="1"/>
    <col min="23" max="23" width="26.109375" bestFit="1" customWidth="1"/>
    <col min="24" max="24" width="27.77734375" bestFit="1" customWidth="1"/>
    <col min="25" max="25" width="14.21875" bestFit="1" customWidth="1"/>
    <col min="26" max="26" width="17.6640625" bestFit="1" customWidth="1"/>
    <col min="27" max="27" width="21.44140625" bestFit="1" customWidth="1"/>
  </cols>
  <sheetData>
    <row r="1" spans="1:27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0</v>
      </c>
      <c r="I1" s="1" t="s">
        <v>7</v>
      </c>
      <c r="J1" s="16" t="s">
        <v>44</v>
      </c>
      <c r="K1" s="2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2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3" t="s">
        <v>22</v>
      </c>
      <c r="Z1" s="3" t="s">
        <v>23</v>
      </c>
      <c r="AA1" s="4" t="s">
        <v>24</v>
      </c>
    </row>
    <row r="2" spans="1:27" ht="14.4" x14ac:dyDescent="0.3">
      <c r="A2" s="5" t="s">
        <v>77</v>
      </c>
      <c r="B2" s="6">
        <v>46147</v>
      </c>
      <c r="C2" s="5" t="s">
        <v>67</v>
      </c>
      <c r="D2" s="7" t="str">
        <f t="shared" ref="D2:D32" si="0">H2&amp;G2</f>
        <v>PO/HR/010/26-27FBA80095</v>
      </c>
      <c r="E2" s="5" t="s">
        <v>78</v>
      </c>
      <c r="F2" s="5" t="s">
        <v>68</v>
      </c>
      <c r="G2" s="8" t="s">
        <v>55</v>
      </c>
      <c r="H2" s="5" t="s">
        <v>77</v>
      </c>
      <c r="I2" s="5" t="s">
        <v>25</v>
      </c>
      <c r="J2" s="5" t="s">
        <v>56</v>
      </c>
      <c r="K2" s="5" t="s">
        <v>28</v>
      </c>
      <c r="L2" s="5">
        <v>5</v>
      </c>
      <c r="M2" s="5">
        <v>17495</v>
      </c>
      <c r="N2" s="9">
        <v>10977.371186440678</v>
      </c>
      <c r="O2" s="10">
        <f t="shared" ref="O2:O32" si="1">N2*1.18</f>
        <v>12953.297999999999</v>
      </c>
      <c r="P2" s="11">
        <v>0.18</v>
      </c>
      <c r="Q2" s="5">
        <v>91021100</v>
      </c>
      <c r="R2" s="5">
        <v>5</v>
      </c>
      <c r="S2" s="5" t="s">
        <v>27</v>
      </c>
      <c r="T2" s="5" t="s">
        <v>79</v>
      </c>
      <c r="U2" s="5" t="s">
        <v>80</v>
      </c>
      <c r="V2" s="12">
        <v>46151</v>
      </c>
      <c r="W2" s="6">
        <v>46154</v>
      </c>
      <c r="X2" s="5"/>
      <c r="Y2" s="13">
        <f t="shared" ref="Y2:Y32" si="2">O2*L2</f>
        <v>64766.489999999991</v>
      </c>
      <c r="Z2" s="14">
        <f t="shared" ref="Z2:Z32" si="3">O2*R2</f>
        <v>64766.489999999991</v>
      </c>
      <c r="AA2" s="15"/>
    </row>
    <row r="3" spans="1:27" ht="14.4" x14ac:dyDescent="0.3">
      <c r="A3" s="5" t="s">
        <v>77</v>
      </c>
      <c r="B3" s="6">
        <v>46147</v>
      </c>
      <c r="C3" s="5" t="s">
        <v>67</v>
      </c>
      <c r="D3" s="7" t="str">
        <f t="shared" si="0"/>
        <v>PO/HR/010/26-27FBA79527</v>
      </c>
      <c r="E3" s="5" t="s">
        <v>78</v>
      </c>
      <c r="F3" s="5" t="s">
        <v>68</v>
      </c>
      <c r="G3" s="8" t="s">
        <v>51</v>
      </c>
      <c r="H3" s="5" t="s">
        <v>77</v>
      </c>
      <c r="I3" s="5" t="s">
        <v>25</v>
      </c>
      <c r="J3" s="5" t="s">
        <v>52</v>
      </c>
      <c r="K3" s="5" t="s">
        <v>26</v>
      </c>
      <c r="L3" s="5">
        <v>6</v>
      </c>
      <c r="M3" s="5">
        <v>13495</v>
      </c>
      <c r="N3" s="9">
        <v>8062.6906779661022</v>
      </c>
      <c r="O3" s="10">
        <f t="shared" si="1"/>
        <v>9513.9750000000004</v>
      </c>
      <c r="P3" s="11">
        <v>0.18</v>
      </c>
      <c r="Q3" s="5" t="s">
        <v>29</v>
      </c>
      <c r="R3" s="5">
        <v>6</v>
      </c>
      <c r="S3" s="5" t="s">
        <v>27</v>
      </c>
      <c r="T3" s="5" t="s">
        <v>79</v>
      </c>
      <c r="U3" s="5" t="s">
        <v>80</v>
      </c>
      <c r="V3" s="12">
        <v>46151</v>
      </c>
      <c r="W3" s="6">
        <v>46154</v>
      </c>
      <c r="X3" s="5"/>
      <c r="Y3" s="13">
        <f t="shared" si="2"/>
        <v>57083.850000000006</v>
      </c>
      <c r="Z3" s="14">
        <f t="shared" si="3"/>
        <v>57083.850000000006</v>
      </c>
      <c r="AA3" s="15"/>
    </row>
    <row r="4" spans="1:27" ht="14.4" x14ac:dyDescent="0.3">
      <c r="A4" s="5" t="s">
        <v>77</v>
      </c>
      <c r="B4" s="6">
        <v>46147</v>
      </c>
      <c r="C4" s="5" t="s">
        <v>67</v>
      </c>
      <c r="D4" s="7" t="str">
        <f t="shared" si="0"/>
        <v>PO/HR/010/26-27FBA80041</v>
      </c>
      <c r="E4" s="5" t="s">
        <v>78</v>
      </c>
      <c r="F4" s="5" t="s">
        <v>68</v>
      </c>
      <c r="G4" s="8" t="s">
        <v>81</v>
      </c>
      <c r="H4" s="5" t="s">
        <v>77</v>
      </c>
      <c r="I4" s="5" t="s">
        <v>25</v>
      </c>
      <c r="J4" s="5" t="s">
        <v>82</v>
      </c>
      <c r="K4" s="5" t="s">
        <v>26</v>
      </c>
      <c r="L4" s="5">
        <v>5</v>
      </c>
      <c r="M4" s="5">
        <v>15995</v>
      </c>
      <c r="N4" s="9">
        <v>9556.3347457627133</v>
      </c>
      <c r="O4" s="10">
        <f t="shared" si="1"/>
        <v>11276.475</v>
      </c>
      <c r="P4" s="11">
        <v>0.18</v>
      </c>
      <c r="Q4" s="5">
        <v>91021100</v>
      </c>
      <c r="R4" s="5">
        <v>5</v>
      </c>
      <c r="S4" s="5" t="s">
        <v>27</v>
      </c>
      <c r="T4" s="5" t="s">
        <v>79</v>
      </c>
      <c r="U4" s="5" t="s">
        <v>80</v>
      </c>
      <c r="V4" s="12">
        <v>46151</v>
      </c>
      <c r="W4" s="6">
        <v>46154</v>
      </c>
      <c r="X4" s="5"/>
      <c r="Y4" s="13">
        <f t="shared" si="2"/>
        <v>56382.375</v>
      </c>
      <c r="Z4" s="14">
        <f t="shared" si="3"/>
        <v>56382.375</v>
      </c>
      <c r="AA4" s="15"/>
    </row>
    <row r="5" spans="1:27" ht="14.4" x14ac:dyDescent="0.3">
      <c r="A5" s="5" t="s">
        <v>77</v>
      </c>
      <c r="B5" s="6">
        <v>46147</v>
      </c>
      <c r="C5" s="5" t="s">
        <v>67</v>
      </c>
      <c r="D5" s="7" t="str">
        <f t="shared" si="0"/>
        <v>PO/HR/010/26-27FBS74257</v>
      </c>
      <c r="E5" s="5" t="s">
        <v>78</v>
      </c>
      <c r="F5" s="5" t="s">
        <v>68</v>
      </c>
      <c r="G5" s="8" t="s">
        <v>30</v>
      </c>
      <c r="H5" s="5" t="s">
        <v>77</v>
      </c>
      <c r="I5" s="5" t="s">
        <v>25</v>
      </c>
      <c r="J5" s="5" t="s">
        <v>31</v>
      </c>
      <c r="K5" s="5" t="s">
        <v>32</v>
      </c>
      <c r="L5" s="5">
        <v>3</v>
      </c>
      <c r="M5" s="5">
        <v>24495</v>
      </c>
      <c r="N5" s="9">
        <v>15859.47457627119</v>
      </c>
      <c r="O5" s="10">
        <f t="shared" si="1"/>
        <v>18714.180000000004</v>
      </c>
      <c r="P5" s="11">
        <v>0.18</v>
      </c>
      <c r="Q5" s="5">
        <v>91021100</v>
      </c>
      <c r="R5" s="5">
        <v>3</v>
      </c>
      <c r="S5" s="5" t="s">
        <v>27</v>
      </c>
      <c r="T5" s="5" t="s">
        <v>79</v>
      </c>
      <c r="U5" s="5" t="s">
        <v>80</v>
      </c>
      <c r="V5" s="12">
        <v>46151</v>
      </c>
      <c r="W5" s="6">
        <v>46154</v>
      </c>
      <c r="X5" s="5"/>
      <c r="Y5" s="13">
        <f t="shared" si="2"/>
        <v>56142.540000000008</v>
      </c>
      <c r="Z5" s="14">
        <f t="shared" si="3"/>
        <v>56142.540000000008</v>
      </c>
      <c r="AA5" s="15"/>
    </row>
    <row r="6" spans="1:27" ht="14.4" x14ac:dyDescent="0.3">
      <c r="A6" s="5" t="s">
        <v>77</v>
      </c>
      <c r="B6" s="6">
        <v>46147</v>
      </c>
      <c r="C6" s="5" t="s">
        <v>67</v>
      </c>
      <c r="D6" s="7" t="str">
        <f t="shared" si="0"/>
        <v>PO/HR/010/26-27FBO75153</v>
      </c>
      <c r="E6" s="5" t="s">
        <v>78</v>
      </c>
      <c r="F6" s="5" t="s">
        <v>68</v>
      </c>
      <c r="G6" s="8" t="s">
        <v>47</v>
      </c>
      <c r="H6" s="5" t="s">
        <v>77</v>
      </c>
      <c r="I6" s="5" t="s">
        <v>25</v>
      </c>
      <c r="J6" s="5" t="s">
        <v>48</v>
      </c>
      <c r="K6" s="5" t="s">
        <v>26</v>
      </c>
      <c r="L6" s="5">
        <v>5</v>
      </c>
      <c r="M6" s="5">
        <v>14495</v>
      </c>
      <c r="N6" s="9">
        <v>8660.1483050847473</v>
      </c>
      <c r="O6" s="10">
        <f t="shared" si="1"/>
        <v>10218.975000000002</v>
      </c>
      <c r="P6" s="11">
        <v>0.18</v>
      </c>
      <c r="Q6" s="5">
        <v>91021100</v>
      </c>
      <c r="R6" s="5">
        <v>0</v>
      </c>
      <c r="S6" s="5" t="s">
        <v>27</v>
      </c>
      <c r="T6" s="5" t="s">
        <v>79</v>
      </c>
      <c r="U6" s="5" t="s">
        <v>80</v>
      </c>
      <c r="V6" s="12">
        <v>46151</v>
      </c>
      <c r="W6" s="6">
        <v>46154</v>
      </c>
      <c r="X6" s="5"/>
      <c r="Y6" s="13">
        <f t="shared" si="2"/>
        <v>51094.875000000015</v>
      </c>
      <c r="Z6" s="14">
        <f t="shared" si="3"/>
        <v>0</v>
      </c>
      <c r="AA6" s="15"/>
    </row>
    <row r="7" spans="1:27" ht="14.4" x14ac:dyDescent="0.3">
      <c r="A7" s="5" t="s">
        <v>77</v>
      </c>
      <c r="B7" s="6">
        <v>46147</v>
      </c>
      <c r="C7" s="5" t="s">
        <v>67</v>
      </c>
      <c r="D7" s="7" t="str">
        <f t="shared" si="0"/>
        <v>PO/HR/010/26-27FBA79746</v>
      </c>
      <c r="E7" s="5" t="s">
        <v>78</v>
      </c>
      <c r="F7" s="5" t="s">
        <v>68</v>
      </c>
      <c r="G7" s="8" t="s">
        <v>73</v>
      </c>
      <c r="H7" s="5" t="s">
        <v>77</v>
      </c>
      <c r="I7" s="5" t="s">
        <v>25</v>
      </c>
      <c r="J7" s="5" t="s">
        <v>74</v>
      </c>
      <c r="K7" s="5" t="s">
        <v>26</v>
      </c>
      <c r="L7" s="5">
        <v>4</v>
      </c>
      <c r="M7" s="5">
        <v>15995</v>
      </c>
      <c r="N7" s="9">
        <v>9556.3347457627115</v>
      </c>
      <c r="O7" s="10">
        <f t="shared" si="1"/>
        <v>11276.474999999999</v>
      </c>
      <c r="P7" s="11">
        <v>0.18</v>
      </c>
      <c r="Q7" s="5" t="s">
        <v>29</v>
      </c>
      <c r="R7" s="5">
        <v>0</v>
      </c>
      <c r="S7" s="5" t="s">
        <v>27</v>
      </c>
      <c r="T7" s="5" t="s">
        <v>79</v>
      </c>
      <c r="U7" s="5" t="s">
        <v>80</v>
      </c>
      <c r="V7" s="12">
        <v>46151</v>
      </c>
      <c r="W7" s="6">
        <v>46154</v>
      </c>
      <c r="X7" s="5"/>
      <c r="Y7" s="13">
        <f t="shared" si="2"/>
        <v>45105.899999999994</v>
      </c>
      <c r="Z7" s="14">
        <f t="shared" si="3"/>
        <v>0</v>
      </c>
      <c r="AA7" s="15"/>
    </row>
    <row r="8" spans="1:27" ht="14.4" x14ac:dyDescent="0.3">
      <c r="A8" s="5" t="s">
        <v>77</v>
      </c>
      <c r="B8" s="6">
        <v>46147</v>
      </c>
      <c r="C8" s="5" t="s">
        <v>67</v>
      </c>
      <c r="D8" s="7" t="str">
        <f t="shared" si="0"/>
        <v>PO/HR/010/26-27FBA80038</v>
      </c>
      <c r="E8" s="5" t="s">
        <v>78</v>
      </c>
      <c r="F8" s="5" t="s">
        <v>68</v>
      </c>
      <c r="G8" s="8" t="s">
        <v>83</v>
      </c>
      <c r="H8" s="5" t="s">
        <v>77</v>
      </c>
      <c r="I8" s="5" t="s">
        <v>25</v>
      </c>
      <c r="J8" s="5" t="s">
        <v>84</v>
      </c>
      <c r="K8" s="5" t="s">
        <v>35</v>
      </c>
      <c r="L8" s="5">
        <v>3</v>
      </c>
      <c r="M8" s="5">
        <v>15995</v>
      </c>
      <c r="N8" s="9">
        <v>10356.084745762713</v>
      </c>
      <c r="O8" s="10">
        <f t="shared" si="1"/>
        <v>12220.18</v>
      </c>
      <c r="P8" s="11">
        <v>0.18</v>
      </c>
      <c r="Q8" s="5">
        <v>91021100</v>
      </c>
      <c r="R8" s="5">
        <v>3</v>
      </c>
      <c r="S8" s="5" t="s">
        <v>27</v>
      </c>
      <c r="T8" s="5" t="s">
        <v>79</v>
      </c>
      <c r="U8" s="5" t="s">
        <v>80</v>
      </c>
      <c r="V8" s="12">
        <v>46151</v>
      </c>
      <c r="W8" s="6">
        <v>46154</v>
      </c>
      <c r="X8" s="5"/>
      <c r="Y8" s="13">
        <f t="shared" si="2"/>
        <v>36660.54</v>
      </c>
      <c r="Z8" s="14">
        <f t="shared" si="3"/>
        <v>36660.54</v>
      </c>
      <c r="AA8" s="15"/>
    </row>
    <row r="9" spans="1:27" ht="14.4" x14ac:dyDescent="0.3">
      <c r="A9" s="5" t="s">
        <v>77</v>
      </c>
      <c r="B9" s="6">
        <v>46147</v>
      </c>
      <c r="C9" s="5" t="s">
        <v>67</v>
      </c>
      <c r="D9" s="7" t="str">
        <f t="shared" si="0"/>
        <v>PO/HR/010/26-27FBA80060</v>
      </c>
      <c r="E9" s="5" t="s">
        <v>78</v>
      </c>
      <c r="F9" s="5" t="s">
        <v>68</v>
      </c>
      <c r="G9" s="8" t="s">
        <v>85</v>
      </c>
      <c r="H9" s="5" t="s">
        <v>77</v>
      </c>
      <c r="I9" s="5" t="s">
        <v>25</v>
      </c>
      <c r="J9" s="5" t="s">
        <v>86</v>
      </c>
      <c r="K9" s="5" t="s">
        <v>35</v>
      </c>
      <c r="L9" s="5">
        <v>3</v>
      </c>
      <c r="M9" s="5">
        <v>14495</v>
      </c>
      <c r="N9" s="9">
        <v>9384.8983050847473</v>
      </c>
      <c r="O9" s="10">
        <f t="shared" si="1"/>
        <v>11074.180000000002</v>
      </c>
      <c r="P9" s="11">
        <v>0.18</v>
      </c>
      <c r="Q9" s="5">
        <v>91021100</v>
      </c>
      <c r="R9" s="5">
        <v>3</v>
      </c>
      <c r="S9" s="5" t="s">
        <v>27</v>
      </c>
      <c r="T9" s="5" t="s">
        <v>79</v>
      </c>
      <c r="U9" s="5" t="s">
        <v>80</v>
      </c>
      <c r="V9" s="12">
        <v>46151</v>
      </c>
      <c r="W9" s="6">
        <v>46154</v>
      </c>
      <c r="X9" s="5"/>
      <c r="Y9" s="13">
        <f t="shared" si="2"/>
        <v>33222.540000000008</v>
      </c>
      <c r="Z9" s="14">
        <f t="shared" si="3"/>
        <v>33222.540000000008</v>
      </c>
      <c r="AA9" s="15"/>
    </row>
    <row r="10" spans="1:27" ht="14.4" x14ac:dyDescent="0.3">
      <c r="A10" s="5" t="s">
        <v>77</v>
      </c>
      <c r="B10" s="6">
        <v>46147</v>
      </c>
      <c r="C10" s="5" t="s">
        <v>67</v>
      </c>
      <c r="D10" s="7" t="str">
        <f t="shared" si="0"/>
        <v>PO/HR/010/26-27FBA79884</v>
      </c>
      <c r="E10" s="5" t="s">
        <v>78</v>
      </c>
      <c r="F10" s="5" t="s">
        <v>68</v>
      </c>
      <c r="G10" s="8" t="s">
        <v>87</v>
      </c>
      <c r="H10" s="5" t="s">
        <v>77</v>
      </c>
      <c r="I10" s="5" t="s">
        <v>25</v>
      </c>
      <c r="J10" s="5" t="s">
        <v>88</v>
      </c>
      <c r="K10" s="5" t="s">
        <v>26</v>
      </c>
      <c r="L10" s="5">
        <v>3</v>
      </c>
      <c r="M10" s="5">
        <v>14495</v>
      </c>
      <c r="N10" s="9">
        <v>8660.1483050847473</v>
      </c>
      <c r="O10" s="10">
        <f t="shared" si="1"/>
        <v>10218.975000000002</v>
      </c>
      <c r="P10" s="11">
        <v>0.18</v>
      </c>
      <c r="Q10" s="5">
        <v>91021100</v>
      </c>
      <c r="R10" s="5">
        <v>3</v>
      </c>
      <c r="S10" s="5" t="s">
        <v>27</v>
      </c>
      <c r="T10" s="5" t="s">
        <v>79</v>
      </c>
      <c r="U10" s="5" t="s">
        <v>80</v>
      </c>
      <c r="V10" s="12">
        <v>46151</v>
      </c>
      <c r="W10" s="6">
        <v>46154</v>
      </c>
      <c r="X10" s="5"/>
      <c r="Y10" s="13">
        <f t="shared" si="2"/>
        <v>30656.925000000007</v>
      </c>
      <c r="Z10" s="14">
        <f t="shared" si="3"/>
        <v>30656.925000000007</v>
      </c>
      <c r="AA10" s="15"/>
    </row>
    <row r="11" spans="1:27" ht="14.4" x14ac:dyDescent="0.3">
      <c r="A11" s="5" t="s">
        <v>77</v>
      </c>
      <c r="B11" s="6">
        <v>46147</v>
      </c>
      <c r="C11" s="5" t="s">
        <v>67</v>
      </c>
      <c r="D11" s="7" t="str">
        <f t="shared" si="0"/>
        <v>PO/HR/010/26-27FBA79933</v>
      </c>
      <c r="E11" s="5" t="s">
        <v>78</v>
      </c>
      <c r="F11" s="5" t="s">
        <v>68</v>
      </c>
      <c r="G11" s="8" t="s">
        <v>36</v>
      </c>
      <c r="H11" s="5" t="s">
        <v>77</v>
      </c>
      <c r="I11" s="5" t="s">
        <v>25</v>
      </c>
      <c r="J11" s="5" t="s">
        <v>37</v>
      </c>
      <c r="K11" s="5" t="s">
        <v>26</v>
      </c>
      <c r="L11" s="5">
        <v>3</v>
      </c>
      <c r="M11" s="5">
        <v>13495</v>
      </c>
      <c r="N11" s="9">
        <v>8062.6906779661022</v>
      </c>
      <c r="O11" s="10">
        <f t="shared" si="1"/>
        <v>9513.9750000000004</v>
      </c>
      <c r="P11" s="11">
        <v>0.18</v>
      </c>
      <c r="Q11" s="5" t="s">
        <v>29</v>
      </c>
      <c r="R11" s="5">
        <v>3</v>
      </c>
      <c r="S11" s="5" t="s">
        <v>27</v>
      </c>
      <c r="T11" s="5" t="s">
        <v>79</v>
      </c>
      <c r="U11" s="5" t="s">
        <v>80</v>
      </c>
      <c r="V11" s="12">
        <v>46151</v>
      </c>
      <c r="W11" s="6">
        <v>46154</v>
      </c>
      <c r="X11" s="5"/>
      <c r="Y11" s="13">
        <f t="shared" si="2"/>
        <v>28541.925000000003</v>
      </c>
      <c r="Z11" s="14">
        <f t="shared" si="3"/>
        <v>28541.925000000003</v>
      </c>
      <c r="AA11" s="15"/>
    </row>
    <row r="12" spans="1:27" ht="14.4" x14ac:dyDescent="0.3">
      <c r="A12" s="5" t="s">
        <v>77</v>
      </c>
      <c r="B12" s="6">
        <v>46147</v>
      </c>
      <c r="C12" s="5" t="s">
        <v>67</v>
      </c>
      <c r="D12" s="7" t="str">
        <f t="shared" si="0"/>
        <v>PO/HR/010/26-27FBA79529</v>
      </c>
      <c r="E12" s="5" t="s">
        <v>78</v>
      </c>
      <c r="F12" s="5" t="s">
        <v>68</v>
      </c>
      <c r="G12" s="8" t="s">
        <v>57</v>
      </c>
      <c r="H12" s="5" t="s">
        <v>77</v>
      </c>
      <c r="I12" s="5" t="s">
        <v>25</v>
      </c>
      <c r="J12" s="5" t="s">
        <v>58</v>
      </c>
      <c r="K12" s="5" t="s">
        <v>26</v>
      </c>
      <c r="L12" s="5">
        <v>3</v>
      </c>
      <c r="M12" s="5">
        <v>13495</v>
      </c>
      <c r="N12" s="9">
        <v>8062.6906779661022</v>
      </c>
      <c r="O12" s="10">
        <f t="shared" si="1"/>
        <v>9513.9750000000004</v>
      </c>
      <c r="P12" s="11">
        <v>0.18</v>
      </c>
      <c r="Q12" s="5" t="s">
        <v>29</v>
      </c>
      <c r="R12" s="5">
        <v>1</v>
      </c>
      <c r="S12" s="5" t="s">
        <v>27</v>
      </c>
      <c r="T12" s="5" t="s">
        <v>79</v>
      </c>
      <c r="U12" s="5" t="s">
        <v>80</v>
      </c>
      <c r="V12" s="12">
        <v>46151</v>
      </c>
      <c r="W12" s="6">
        <v>46154</v>
      </c>
      <c r="X12" s="5"/>
      <c r="Y12" s="13">
        <f t="shared" si="2"/>
        <v>28541.925000000003</v>
      </c>
      <c r="Z12" s="14">
        <f t="shared" si="3"/>
        <v>9513.9750000000004</v>
      </c>
      <c r="AA12" s="15"/>
    </row>
    <row r="13" spans="1:27" ht="14.4" x14ac:dyDescent="0.3">
      <c r="A13" s="5" t="s">
        <v>77</v>
      </c>
      <c r="B13" s="6">
        <v>46147</v>
      </c>
      <c r="C13" s="5" t="s">
        <v>67</v>
      </c>
      <c r="D13" s="7" t="str">
        <f t="shared" si="0"/>
        <v>PO/HR/010/26-27FBS66640</v>
      </c>
      <c r="E13" s="5" t="s">
        <v>78</v>
      </c>
      <c r="F13" s="5" t="s">
        <v>68</v>
      </c>
      <c r="G13" s="8" t="s">
        <v>89</v>
      </c>
      <c r="H13" s="5" t="s">
        <v>77</v>
      </c>
      <c r="I13" s="5" t="s">
        <v>25</v>
      </c>
      <c r="J13" s="5" t="s">
        <v>90</v>
      </c>
      <c r="K13" s="5" t="s">
        <v>26</v>
      </c>
      <c r="L13" s="5">
        <v>3</v>
      </c>
      <c r="M13" s="5">
        <v>12995</v>
      </c>
      <c r="N13" s="9">
        <v>7763.9618644067787</v>
      </c>
      <c r="O13" s="10">
        <f t="shared" si="1"/>
        <v>9161.4749999999985</v>
      </c>
      <c r="P13" s="11">
        <v>0.18</v>
      </c>
      <c r="Q13" s="5">
        <v>91021900</v>
      </c>
      <c r="R13" s="5">
        <v>3</v>
      </c>
      <c r="S13" s="5" t="s">
        <v>27</v>
      </c>
      <c r="T13" s="5" t="s">
        <v>79</v>
      </c>
      <c r="U13" s="5" t="s">
        <v>80</v>
      </c>
      <c r="V13" s="12">
        <v>46151</v>
      </c>
      <c r="W13" s="6">
        <v>46154</v>
      </c>
      <c r="X13" s="5"/>
      <c r="Y13" s="13">
        <f t="shared" si="2"/>
        <v>27484.424999999996</v>
      </c>
      <c r="Z13" s="14">
        <f t="shared" si="3"/>
        <v>27484.424999999996</v>
      </c>
      <c r="AA13" s="15"/>
    </row>
    <row r="14" spans="1:27" ht="14.4" x14ac:dyDescent="0.3">
      <c r="A14" s="5" t="s">
        <v>77</v>
      </c>
      <c r="B14" s="6">
        <v>46147</v>
      </c>
      <c r="C14" s="5" t="s">
        <v>67</v>
      </c>
      <c r="D14" s="7" t="str">
        <f t="shared" si="0"/>
        <v>PO/HR/010/26-27FBA79883</v>
      </c>
      <c r="E14" s="5" t="s">
        <v>78</v>
      </c>
      <c r="F14" s="5" t="s">
        <v>68</v>
      </c>
      <c r="G14" s="8" t="s">
        <v>33</v>
      </c>
      <c r="H14" s="5" t="s">
        <v>77</v>
      </c>
      <c r="I14" s="5" t="s">
        <v>25</v>
      </c>
      <c r="J14" s="5" t="s">
        <v>34</v>
      </c>
      <c r="K14" s="5" t="s">
        <v>26</v>
      </c>
      <c r="L14" s="5">
        <v>2</v>
      </c>
      <c r="M14" s="5">
        <v>14495</v>
      </c>
      <c r="N14" s="9">
        <v>8660.1483050847473</v>
      </c>
      <c r="O14" s="10">
        <f t="shared" si="1"/>
        <v>10218.975000000002</v>
      </c>
      <c r="P14" s="11">
        <v>0.18</v>
      </c>
      <c r="Q14" s="5">
        <v>91021100</v>
      </c>
      <c r="R14" s="5">
        <v>2</v>
      </c>
      <c r="S14" s="5" t="s">
        <v>27</v>
      </c>
      <c r="T14" s="5" t="s">
        <v>79</v>
      </c>
      <c r="U14" s="5" t="s">
        <v>80</v>
      </c>
      <c r="V14" s="12">
        <v>46151</v>
      </c>
      <c r="W14" s="6">
        <v>46154</v>
      </c>
      <c r="X14" s="5"/>
      <c r="Y14" s="13">
        <f t="shared" si="2"/>
        <v>20437.950000000004</v>
      </c>
      <c r="Z14" s="14">
        <f t="shared" si="3"/>
        <v>20437.950000000004</v>
      </c>
      <c r="AA14" s="15"/>
    </row>
    <row r="15" spans="1:27" ht="14.4" x14ac:dyDescent="0.3">
      <c r="A15" s="5" t="s">
        <v>77</v>
      </c>
      <c r="B15" s="6">
        <v>46147</v>
      </c>
      <c r="C15" s="5" t="s">
        <v>67</v>
      </c>
      <c r="D15" s="7" t="str">
        <f t="shared" si="0"/>
        <v>PO/HR/010/26-27FBA79640</v>
      </c>
      <c r="E15" s="5" t="s">
        <v>78</v>
      </c>
      <c r="F15" s="5" t="s">
        <v>68</v>
      </c>
      <c r="G15" s="8" t="s">
        <v>71</v>
      </c>
      <c r="H15" s="5" t="s">
        <v>77</v>
      </c>
      <c r="I15" s="5" t="s">
        <v>25</v>
      </c>
      <c r="J15" s="5" t="s">
        <v>72</v>
      </c>
      <c r="K15" s="5" t="s">
        <v>26</v>
      </c>
      <c r="L15" s="5">
        <v>2</v>
      </c>
      <c r="M15" s="5">
        <v>13495</v>
      </c>
      <c r="N15" s="9">
        <v>8062.6906779661022</v>
      </c>
      <c r="O15" s="10">
        <f t="shared" si="1"/>
        <v>9513.9750000000004</v>
      </c>
      <c r="P15" s="11">
        <v>0.18</v>
      </c>
      <c r="Q15" s="5">
        <v>91021100</v>
      </c>
      <c r="R15" s="5">
        <v>2</v>
      </c>
      <c r="S15" s="5" t="s">
        <v>27</v>
      </c>
      <c r="T15" s="5" t="s">
        <v>79</v>
      </c>
      <c r="U15" s="5" t="s">
        <v>80</v>
      </c>
      <c r="V15" s="12">
        <v>46151</v>
      </c>
      <c r="W15" s="6">
        <v>46154</v>
      </c>
      <c r="X15" s="5"/>
      <c r="Y15" s="13">
        <f t="shared" si="2"/>
        <v>19027.95</v>
      </c>
      <c r="Z15" s="14">
        <f t="shared" si="3"/>
        <v>19027.95</v>
      </c>
      <c r="AA15" s="15"/>
    </row>
    <row r="16" spans="1:27" ht="14.4" x14ac:dyDescent="0.3">
      <c r="A16" s="5" t="s">
        <v>77</v>
      </c>
      <c r="B16" s="6">
        <v>46147</v>
      </c>
      <c r="C16" s="5" t="s">
        <v>67</v>
      </c>
      <c r="D16" s="7" t="str">
        <f t="shared" si="0"/>
        <v>PO/HR/010/26-27FBS79558</v>
      </c>
      <c r="E16" s="5" t="s">
        <v>78</v>
      </c>
      <c r="F16" s="5" t="s">
        <v>68</v>
      </c>
      <c r="G16" s="8" t="s">
        <v>53</v>
      </c>
      <c r="H16" s="5" t="s">
        <v>77</v>
      </c>
      <c r="I16" s="5" t="s">
        <v>25</v>
      </c>
      <c r="J16" s="5" t="s">
        <v>54</v>
      </c>
      <c r="K16" s="5" t="s">
        <v>32</v>
      </c>
      <c r="L16" s="5">
        <v>1</v>
      </c>
      <c r="M16" s="5">
        <v>24495</v>
      </c>
      <c r="N16" s="9">
        <v>15859.474576271188</v>
      </c>
      <c r="O16" s="10">
        <f t="shared" si="1"/>
        <v>18714.18</v>
      </c>
      <c r="P16" s="11">
        <v>0.18</v>
      </c>
      <c r="Q16" s="5" t="s">
        <v>29</v>
      </c>
      <c r="R16" s="5">
        <v>1</v>
      </c>
      <c r="S16" s="5" t="s">
        <v>27</v>
      </c>
      <c r="T16" s="5" t="s">
        <v>79</v>
      </c>
      <c r="U16" s="5" t="s">
        <v>80</v>
      </c>
      <c r="V16" s="12">
        <v>46151</v>
      </c>
      <c r="W16" s="6">
        <v>46154</v>
      </c>
      <c r="X16" s="5"/>
      <c r="Y16" s="13">
        <f t="shared" si="2"/>
        <v>18714.18</v>
      </c>
      <c r="Z16" s="14">
        <f t="shared" si="3"/>
        <v>18714.18</v>
      </c>
      <c r="AA16" s="15"/>
    </row>
    <row r="17" spans="1:27" ht="14.4" x14ac:dyDescent="0.3">
      <c r="A17" s="5" t="s">
        <v>77</v>
      </c>
      <c r="B17" s="6">
        <v>46147</v>
      </c>
      <c r="C17" s="5" t="s">
        <v>67</v>
      </c>
      <c r="D17" s="7" t="str">
        <f t="shared" si="0"/>
        <v>PO/HR/010/26-27FBA79930</v>
      </c>
      <c r="E17" s="5" t="s">
        <v>78</v>
      </c>
      <c r="F17" s="5" t="s">
        <v>68</v>
      </c>
      <c r="G17" s="8" t="s">
        <v>63</v>
      </c>
      <c r="H17" s="5" t="s">
        <v>77</v>
      </c>
      <c r="I17" s="5" t="s">
        <v>25</v>
      </c>
      <c r="J17" s="5" t="s">
        <v>64</v>
      </c>
      <c r="K17" s="5" t="s">
        <v>26</v>
      </c>
      <c r="L17" s="5">
        <v>2</v>
      </c>
      <c r="M17" s="5">
        <v>11995</v>
      </c>
      <c r="N17" s="9">
        <v>7166.5042372881362</v>
      </c>
      <c r="O17" s="10">
        <f t="shared" si="1"/>
        <v>8456.4750000000004</v>
      </c>
      <c r="P17" s="11">
        <v>0.18</v>
      </c>
      <c r="Q17" s="5" t="s">
        <v>29</v>
      </c>
      <c r="R17" s="5">
        <v>2</v>
      </c>
      <c r="S17" s="5" t="s">
        <v>27</v>
      </c>
      <c r="T17" s="5" t="s">
        <v>79</v>
      </c>
      <c r="U17" s="5" t="s">
        <v>80</v>
      </c>
      <c r="V17" s="12">
        <v>46151</v>
      </c>
      <c r="W17" s="6">
        <v>46154</v>
      </c>
      <c r="X17" s="5"/>
      <c r="Y17" s="13">
        <f t="shared" si="2"/>
        <v>16912.95</v>
      </c>
      <c r="Z17" s="14">
        <f t="shared" si="3"/>
        <v>16912.95</v>
      </c>
      <c r="AA17" s="15"/>
    </row>
    <row r="18" spans="1:27" ht="14.4" x14ac:dyDescent="0.3">
      <c r="A18" s="5" t="s">
        <v>77</v>
      </c>
      <c r="B18" s="6">
        <v>46147</v>
      </c>
      <c r="C18" s="5" t="s">
        <v>67</v>
      </c>
      <c r="D18" s="7" t="str">
        <f t="shared" si="0"/>
        <v>PO/HR/010/26-27FBA79929</v>
      </c>
      <c r="E18" s="5" t="s">
        <v>78</v>
      </c>
      <c r="F18" s="5" t="s">
        <v>68</v>
      </c>
      <c r="G18" s="8" t="s">
        <v>45</v>
      </c>
      <c r="H18" s="5" t="s">
        <v>77</v>
      </c>
      <c r="I18" s="5" t="s">
        <v>25</v>
      </c>
      <c r="J18" s="5" t="s">
        <v>46</v>
      </c>
      <c r="K18" s="5" t="s">
        <v>26</v>
      </c>
      <c r="L18" s="5">
        <v>2</v>
      </c>
      <c r="M18" s="5">
        <v>11995</v>
      </c>
      <c r="N18" s="9">
        <v>7166.5042372881362</v>
      </c>
      <c r="O18" s="10">
        <f t="shared" si="1"/>
        <v>8456.4750000000004</v>
      </c>
      <c r="P18" s="11">
        <v>0.18</v>
      </c>
      <c r="Q18" s="5" t="s">
        <v>29</v>
      </c>
      <c r="R18" s="5">
        <v>2</v>
      </c>
      <c r="S18" s="5" t="s">
        <v>27</v>
      </c>
      <c r="T18" s="5" t="s">
        <v>79</v>
      </c>
      <c r="U18" s="5" t="s">
        <v>80</v>
      </c>
      <c r="V18" s="12">
        <v>46151</v>
      </c>
      <c r="W18" s="6">
        <v>46154</v>
      </c>
      <c r="X18" s="5"/>
      <c r="Y18" s="13">
        <f t="shared" si="2"/>
        <v>16912.95</v>
      </c>
      <c r="Z18" s="14">
        <f t="shared" si="3"/>
        <v>16912.95</v>
      </c>
      <c r="AA18" s="15"/>
    </row>
    <row r="19" spans="1:27" ht="14.4" x14ac:dyDescent="0.3">
      <c r="A19" s="5" t="s">
        <v>77</v>
      </c>
      <c r="B19" s="6">
        <v>46147</v>
      </c>
      <c r="C19" s="5" t="s">
        <v>67</v>
      </c>
      <c r="D19" s="7" t="str">
        <f t="shared" si="0"/>
        <v>PO/HR/010/26-27FBS69614</v>
      </c>
      <c r="E19" s="5" t="s">
        <v>78</v>
      </c>
      <c r="F19" s="5" t="s">
        <v>68</v>
      </c>
      <c r="G19" s="8" t="s">
        <v>91</v>
      </c>
      <c r="H19" s="5" t="s">
        <v>77</v>
      </c>
      <c r="I19" s="5" t="s">
        <v>25</v>
      </c>
      <c r="J19" s="5" t="s">
        <v>92</v>
      </c>
      <c r="K19" s="5" t="s">
        <v>32</v>
      </c>
      <c r="L19" s="5">
        <v>1</v>
      </c>
      <c r="M19" s="5">
        <v>20495</v>
      </c>
      <c r="N19" s="9">
        <v>13269.644067796609</v>
      </c>
      <c r="O19" s="10">
        <f t="shared" si="1"/>
        <v>15658.179999999998</v>
      </c>
      <c r="P19" s="11">
        <v>0.18</v>
      </c>
      <c r="Q19" s="5">
        <v>91021100</v>
      </c>
      <c r="R19" s="5">
        <v>1</v>
      </c>
      <c r="S19" s="5" t="s">
        <v>27</v>
      </c>
      <c r="T19" s="5" t="s">
        <v>79</v>
      </c>
      <c r="U19" s="5" t="s">
        <v>80</v>
      </c>
      <c r="V19" s="12">
        <v>46151</v>
      </c>
      <c r="W19" s="6">
        <v>46154</v>
      </c>
      <c r="X19" s="5"/>
      <c r="Y19" s="13">
        <f t="shared" si="2"/>
        <v>15658.179999999998</v>
      </c>
      <c r="Z19" s="14">
        <f t="shared" si="3"/>
        <v>15658.179999999998</v>
      </c>
      <c r="AA19" s="15"/>
    </row>
    <row r="20" spans="1:27" ht="14.4" x14ac:dyDescent="0.3">
      <c r="A20" s="5" t="s">
        <v>77</v>
      </c>
      <c r="B20" s="6">
        <v>46147</v>
      </c>
      <c r="C20" s="5" t="s">
        <v>67</v>
      </c>
      <c r="D20" s="7" t="str">
        <f t="shared" si="0"/>
        <v>PO/HR/010/26-27FBS79224</v>
      </c>
      <c r="E20" s="5" t="s">
        <v>78</v>
      </c>
      <c r="F20" s="5" t="s">
        <v>68</v>
      </c>
      <c r="G20" s="8" t="s">
        <v>93</v>
      </c>
      <c r="H20" s="5" t="s">
        <v>77</v>
      </c>
      <c r="I20" s="5" t="s">
        <v>25</v>
      </c>
      <c r="J20" s="5" t="s">
        <v>94</v>
      </c>
      <c r="K20" s="5" t="s">
        <v>26</v>
      </c>
      <c r="L20" s="5">
        <v>1</v>
      </c>
      <c r="M20" s="5">
        <v>20995</v>
      </c>
      <c r="N20" s="9">
        <v>12543.622881355932</v>
      </c>
      <c r="O20" s="10">
        <f t="shared" si="1"/>
        <v>14801.474999999999</v>
      </c>
      <c r="P20" s="11">
        <v>0.18</v>
      </c>
      <c r="Q20" s="5">
        <v>91022100</v>
      </c>
      <c r="R20" s="5">
        <v>1</v>
      </c>
      <c r="S20" s="5" t="s">
        <v>27</v>
      </c>
      <c r="T20" s="5" t="s">
        <v>79</v>
      </c>
      <c r="U20" s="5" t="s">
        <v>80</v>
      </c>
      <c r="V20" s="12">
        <v>46151</v>
      </c>
      <c r="W20" s="6">
        <v>46154</v>
      </c>
      <c r="X20" s="5"/>
      <c r="Y20" s="13">
        <f t="shared" si="2"/>
        <v>14801.474999999999</v>
      </c>
      <c r="Z20" s="14">
        <f t="shared" si="3"/>
        <v>14801.474999999999</v>
      </c>
      <c r="AA20" s="15"/>
    </row>
    <row r="21" spans="1:27" ht="14.4" x14ac:dyDescent="0.3">
      <c r="A21" s="5" t="s">
        <v>77</v>
      </c>
      <c r="B21" s="6">
        <v>46147</v>
      </c>
      <c r="C21" s="5" t="s">
        <v>67</v>
      </c>
      <c r="D21" s="7" t="str">
        <f t="shared" si="0"/>
        <v>PO/HR/010/26-27FBA79885</v>
      </c>
      <c r="E21" s="5" t="s">
        <v>78</v>
      </c>
      <c r="F21" s="5" t="s">
        <v>68</v>
      </c>
      <c r="G21" s="8" t="s">
        <v>59</v>
      </c>
      <c r="H21" s="5" t="s">
        <v>77</v>
      </c>
      <c r="I21" s="5" t="s">
        <v>25</v>
      </c>
      <c r="J21" s="5" t="s">
        <v>60</v>
      </c>
      <c r="K21" s="5" t="s">
        <v>26</v>
      </c>
      <c r="L21" s="5">
        <v>1</v>
      </c>
      <c r="M21" s="5">
        <v>19995</v>
      </c>
      <c r="N21" s="9">
        <v>11946.165254237289</v>
      </c>
      <c r="O21" s="10">
        <f t="shared" si="1"/>
        <v>14096.475</v>
      </c>
      <c r="P21" s="11">
        <v>0.18</v>
      </c>
      <c r="Q21" s="5">
        <v>91022100</v>
      </c>
      <c r="R21" s="5">
        <v>1</v>
      </c>
      <c r="S21" s="5" t="s">
        <v>27</v>
      </c>
      <c r="T21" s="5" t="s">
        <v>79</v>
      </c>
      <c r="U21" s="5" t="s">
        <v>80</v>
      </c>
      <c r="V21" s="12">
        <v>46151</v>
      </c>
      <c r="W21" s="6">
        <v>46154</v>
      </c>
      <c r="X21" s="5"/>
      <c r="Y21" s="13">
        <f t="shared" si="2"/>
        <v>14096.475</v>
      </c>
      <c r="Z21" s="14">
        <f t="shared" si="3"/>
        <v>14096.475</v>
      </c>
      <c r="AA21" s="15"/>
    </row>
    <row r="22" spans="1:27" ht="14.4" x14ac:dyDescent="0.3">
      <c r="A22" s="5" t="s">
        <v>77</v>
      </c>
      <c r="B22" s="6">
        <v>46147</v>
      </c>
      <c r="C22" s="5" t="s">
        <v>67</v>
      </c>
      <c r="D22" s="7" t="str">
        <f t="shared" si="0"/>
        <v>PO/HR/010/26-27FBO76876</v>
      </c>
      <c r="E22" s="5" t="s">
        <v>78</v>
      </c>
      <c r="F22" s="5" t="s">
        <v>68</v>
      </c>
      <c r="G22" s="8" t="s">
        <v>95</v>
      </c>
      <c r="H22" s="5" t="s">
        <v>77</v>
      </c>
      <c r="I22" s="5" t="s">
        <v>25</v>
      </c>
      <c r="J22" s="5" t="s">
        <v>96</v>
      </c>
      <c r="K22" s="5" t="s">
        <v>26</v>
      </c>
      <c r="L22" s="5">
        <v>1</v>
      </c>
      <c r="M22" s="5">
        <v>19995</v>
      </c>
      <c r="N22" s="9">
        <v>11946.165254237289</v>
      </c>
      <c r="O22" s="10">
        <f t="shared" si="1"/>
        <v>14096.475</v>
      </c>
      <c r="P22" s="11">
        <v>0.18</v>
      </c>
      <c r="Q22" s="5">
        <v>91022100</v>
      </c>
      <c r="R22" s="5">
        <v>1</v>
      </c>
      <c r="S22" s="5" t="s">
        <v>27</v>
      </c>
      <c r="T22" s="5" t="s">
        <v>79</v>
      </c>
      <c r="U22" s="5" t="s">
        <v>80</v>
      </c>
      <c r="V22" s="12">
        <v>46151</v>
      </c>
      <c r="W22" s="6">
        <v>46154</v>
      </c>
      <c r="X22" s="5"/>
      <c r="Y22" s="13">
        <f t="shared" si="2"/>
        <v>14096.475</v>
      </c>
      <c r="Z22" s="14">
        <f t="shared" si="3"/>
        <v>14096.475</v>
      </c>
      <c r="AA22" s="15"/>
    </row>
    <row r="23" spans="1:27" ht="14.4" x14ac:dyDescent="0.3">
      <c r="A23" s="5" t="s">
        <v>77</v>
      </c>
      <c r="B23" s="6">
        <v>46147</v>
      </c>
      <c r="C23" s="5" t="s">
        <v>67</v>
      </c>
      <c r="D23" s="7" t="str">
        <f t="shared" si="0"/>
        <v>PO/HR/010/26-27FBA79742</v>
      </c>
      <c r="E23" s="5" t="s">
        <v>78</v>
      </c>
      <c r="F23" s="5" t="s">
        <v>68</v>
      </c>
      <c r="G23" s="8" t="s">
        <v>97</v>
      </c>
      <c r="H23" s="5" t="s">
        <v>77</v>
      </c>
      <c r="I23" s="5" t="s">
        <v>25</v>
      </c>
      <c r="J23" s="5" t="s">
        <v>98</v>
      </c>
      <c r="K23" s="5" t="s">
        <v>26</v>
      </c>
      <c r="L23" s="5">
        <v>1</v>
      </c>
      <c r="M23" s="5">
        <v>18495</v>
      </c>
      <c r="N23" s="9">
        <v>11049.978813559323</v>
      </c>
      <c r="O23" s="10">
        <f t="shared" si="1"/>
        <v>13038.975</v>
      </c>
      <c r="P23" s="11">
        <v>0.18</v>
      </c>
      <c r="Q23" s="5" t="s">
        <v>29</v>
      </c>
      <c r="R23" s="5">
        <v>1</v>
      </c>
      <c r="S23" s="5" t="s">
        <v>27</v>
      </c>
      <c r="T23" s="5" t="s">
        <v>79</v>
      </c>
      <c r="U23" s="5" t="s">
        <v>80</v>
      </c>
      <c r="V23" s="12">
        <v>46151</v>
      </c>
      <c r="W23" s="6">
        <v>46154</v>
      </c>
      <c r="X23" s="5"/>
      <c r="Y23" s="13">
        <f t="shared" si="2"/>
        <v>13038.975</v>
      </c>
      <c r="Z23" s="14">
        <f t="shared" si="3"/>
        <v>13038.975</v>
      </c>
      <c r="AA23" s="15"/>
    </row>
    <row r="24" spans="1:27" ht="14.4" x14ac:dyDescent="0.3">
      <c r="A24" s="5" t="s">
        <v>77</v>
      </c>
      <c r="B24" s="6">
        <v>46147</v>
      </c>
      <c r="C24" s="5" t="s">
        <v>67</v>
      </c>
      <c r="D24" s="7" t="str">
        <f t="shared" si="0"/>
        <v>PO/HR/010/26-27FBA80025</v>
      </c>
      <c r="E24" s="5" t="s">
        <v>78</v>
      </c>
      <c r="F24" s="5" t="s">
        <v>68</v>
      </c>
      <c r="G24" s="8" t="s">
        <v>61</v>
      </c>
      <c r="H24" s="5" t="s">
        <v>77</v>
      </c>
      <c r="I24" s="5" t="s">
        <v>25</v>
      </c>
      <c r="J24" s="5" t="s">
        <v>62</v>
      </c>
      <c r="K24" s="5" t="s">
        <v>28</v>
      </c>
      <c r="L24" s="5">
        <v>1</v>
      </c>
      <c r="M24" s="5">
        <v>17495</v>
      </c>
      <c r="N24" s="9">
        <v>10977.371186440678</v>
      </c>
      <c r="O24" s="10">
        <f t="shared" si="1"/>
        <v>12953.297999999999</v>
      </c>
      <c r="P24" s="11">
        <v>0.18</v>
      </c>
      <c r="Q24" s="5">
        <v>91021100</v>
      </c>
      <c r="R24" s="5">
        <v>1</v>
      </c>
      <c r="S24" s="5" t="s">
        <v>27</v>
      </c>
      <c r="T24" s="5" t="s">
        <v>79</v>
      </c>
      <c r="U24" s="5" t="s">
        <v>80</v>
      </c>
      <c r="V24" s="12">
        <v>46151</v>
      </c>
      <c r="W24" s="6">
        <v>46154</v>
      </c>
      <c r="X24" s="5"/>
      <c r="Y24" s="13">
        <f t="shared" si="2"/>
        <v>12953.297999999999</v>
      </c>
      <c r="Z24" s="14">
        <f t="shared" si="3"/>
        <v>12953.297999999999</v>
      </c>
      <c r="AA24" s="15"/>
    </row>
    <row r="25" spans="1:27" ht="14.4" x14ac:dyDescent="0.3">
      <c r="A25" s="5" t="s">
        <v>77</v>
      </c>
      <c r="B25" s="6">
        <v>46147</v>
      </c>
      <c r="C25" s="5" t="s">
        <v>67</v>
      </c>
      <c r="D25" s="7" t="str">
        <f t="shared" si="0"/>
        <v>PO/HR/010/26-27FBA79931</v>
      </c>
      <c r="E25" s="5" t="s">
        <v>78</v>
      </c>
      <c r="F25" s="5" t="s">
        <v>68</v>
      </c>
      <c r="G25" s="8" t="s">
        <v>65</v>
      </c>
      <c r="H25" s="5" t="s">
        <v>77</v>
      </c>
      <c r="I25" s="5" t="s">
        <v>25</v>
      </c>
      <c r="J25" s="5" t="s">
        <v>66</v>
      </c>
      <c r="K25" s="5" t="s">
        <v>26</v>
      </c>
      <c r="L25" s="5">
        <v>1</v>
      </c>
      <c r="M25" s="5">
        <v>15995</v>
      </c>
      <c r="N25" s="9">
        <v>9556.3347457627115</v>
      </c>
      <c r="O25" s="10">
        <f t="shared" si="1"/>
        <v>11276.474999999999</v>
      </c>
      <c r="P25" s="11">
        <v>0.18</v>
      </c>
      <c r="Q25" s="5" t="s">
        <v>29</v>
      </c>
      <c r="R25" s="5">
        <v>1</v>
      </c>
      <c r="S25" s="5" t="s">
        <v>27</v>
      </c>
      <c r="T25" s="5" t="s">
        <v>79</v>
      </c>
      <c r="U25" s="5" t="s">
        <v>80</v>
      </c>
      <c r="V25" s="12">
        <v>46151</v>
      </c>
      <c r="W25" s="6">
        <v>46154</v>
      </c>
      <c r="X25" s="5"/>
      <c r="Y25" s="13">
        <f t="shared" si="2"/>
        <v>11276.474999999999</v>
      </c>
      <c r="Z25" s="14">
        <f t="shared" si="3"/>
        <v>11276.474999999999</v>
      </c>
      <c r="AA25" s="15"/>
    </row>
    <row r="26" spans="1:27" ht="14.4" x14ac:dyDescent="0.3">
      <c r="A26" s="5" t="s">
        <v>77</v>
      </c>
      <c r="B26" s="6">
        <v>46147</v>
      </c>
      <c r="C26" s="5" t="s">
        <v>67</v>
      </c>
      <c r="D26" s="7" t="str">
        <f t="shared" si="0"/>
        <v>PO/HR/010/26-27FBA79753</v>
      </c>
      <c r="E26" s="5" t="s">
        <v>78</v>
      </c>
      <c r="F26" s="5" t="s">
        <v>68</v>
      </c>
      <c r="G26" s="8" t="s">
        <v>99</v>
      </c>
      <c r="H26" s="5" t="s">
        <v>77</v>
      </c>
      <c r="I26" s="5" t="s">
        <v>25</v>
      </c>
      <c r="J26" s="5" t="s">
        <v>100</v>
      </c>
      <c r="K26" s="5" t="s">
        <v>26</v>
      </c>
      <c r="L26" s="5">
        <v>1</v>
      </c>
      <c r="M26" s="5">
        <v>14495</v>
      </c>
      <c r="N26" s="9">
        <v>8660.1483050847473</v>
      </c>
      <c r="O26" s="10">
        <f t="shared" si="1"/>
        <v>10218.975000000002</v>
      </c>
      <c r="P26" s="11">
        <v>0.18</v>
      </c>
      <c r="Q26" s="5" t="s">
        <v>29</v>
      </c>
      <c r="R26" s="5">
        <v>1</v>
      </c>
      <c r="S26" s="5" t="s">
        <v>27</v>
      </c>
      <c r="T26" s="5" t="s">
        <v>79</v>
      </c>
      <c r="U26" s="5" t="s">
        <v>80</v>
      </c>
      <c r="V26" s="12">
        <v>46151</v>
      </c>
      <c r="W26" s="6">
        <v>46154</v>
      </c>
      <c r="X26" s="5"/>
      <c r="Y26" s="13">
        <f t="shared" si="2"/>
        <v>10218.975000000002</v>
      </c>
      <c r="Z26" s="14">
        <f t="shared" si="3"/>
        <v>10218.975000000002</v>
      </c>
      <c r="AA26" s="15"/>
    </row>
    <row r="27" spans="1:27" ht="14.4" x14ac:dyDescent="0.3">
      <c r="A27" s="5" t="s">
        <v>77</v>
      </c>
      <c r="B27" s="6">
        <v>46147</v>
      </c>
      <c r="C27" s="5" t="s">
        <v>67</v>
      </c>
      <c r="D27" s="7" t="str">
        <f t="shared" si="0"/>
        <v>PO/HR/010/26-27FBA79750</v>
      </c>
      <c r="E27" s="5" t="s">
        <v>78</v>
      </c>
      <c r="F27" s="5" t="s">
        <v>68</v>
      </c>
      <c r="G27" s="8" t="s">
        <v>49</v>
      </c>
      <c r="H27" s="5" t="s">
        <v>77</v>
      </c>
      <c r="I27" s="5" t="s">
        <v>25</v>
      </c>
      <c r="J27" s="5" t="s">
        <v>50</v>
      </c>
      <c r="K27" s="5" t="s">
        <v>26</v>
      </c>
      <c r="L27" s="5">
        <v>1</v>
      </c>
      <c r="M27" s="5">
        <v>14495</v>
      </c>
      <c r="N27" s="9">
        <v>8660.1483050847473</v>
      </c>
      <c r="O27" s="10">
        <f t="shared" si="1"/>
        <v>10218.975000000002</v>
      </c>
      <c r="P27" s="11">
        <v>0.18</v>
      </c>
      <c r="Q27" s="5" t="s">
        <v>29</v>
      </c>
      <c r="R27" s="5">
        <v>1</v>
      </c>
      <c r="S27" s="5" t="s">
        <v>27</v>
      </c>
      <c r="T27" s="5" t="s">
        <v>79</v>
      </c>
      <c r="U27" s="5" t="s">
        <v>80</v>
      </c>
      <c r="V27" s="12">
        <v>46151</v>
      </c>
      <c r="W27" s="6">
        <v>46154</v>
      </c>
      <c r="X27" s="5"/>
      <c r="Y27" s="13">
        <f t="shared" si="2"/>
        <v>10218.975000000002</v>
      </c>
      <c r="Z27" s="14">
        <f t="shared" si="3"/>
        <v>10218.975000000002</v>
      </c>
      <c r="AA27" s="15"/>
    </row>
    <row r="28" spans="1:27" ht="14.4" x14ac:dyDescent="0.3">
      <c r="A28" s="5" t="s">
        <v>77</v>
      </c>
      <c r="B28" s="6">
        <v>46147</v>
      </c>
      <c r="C28" s="5" t="s">
        <v>67</v>
      </c>
      <c r="D28" s="7" t="str">
        <f t="shared" si="0"/>
        <v>PO/HR/010/26-27FBS71628</v>
      </c>
      <c r="E28" s="5" t="s">
        <v>78</v>
      </c>
      <c r="F28" s="5" t="s">
        <v>68</v>
      </c>
      <c r="G28" s="8" t="s">
        <v>69</v>
      </c>
      <c r="H28" s="5" t="s">
        <v>77</v>
      </c>
      <c r="I28" s="5" t="s">
        <v>25</v>
      </c>
      <c r="J28" s="5" t="s">
        <v>70</v>
      </c>
      <c r="K28" s="5" t="s">
        <v>26</v>
      </c>
      <c r="L28" s="5">
        <v>1</v>
      </c>
      <c r="M28" s="5">
        <v>12995</v>
      </c>
      <c r="N28" s="9">
        <v>7763.9618644067805</v>
      </c>
      <c r="O28" s="10">
        <f t="shared" si="1"/>
        <v>9161.4750000000004</v>
      </c>
      <c r="P28" s="11">
        <v>0.18</v>
      </c>
      <c r="Q28" s="5">
        <v>91021100</v>
      </c>
      <c r="R28" s="5">
        <v>1</v>
      </c>
      <c r="S28" s="5" t="s">
        <v>27</v>
      </c>
      <c r="T28" s="5" t="s">
        <v>79</v>
      </c>
      <c r="U28" s="5" t="s">
        <v>80</v>
      </c>
      <c r="V28" s="12">
        <v>46151</v>
      </c>
      <c r="W28" s="6">
        <v>46154</v>
      </c>
      <c r="X28" s="5"/>
      <c r="Y28" s="13">
        <f t="shared" si="2"/>
        <v>9161.4750000000004</v>
      </c>
      <c r="Z28" s="14">
        <f t="shared" si="3"/>
        <v>9161.4750000000004</v>
      </c>
      <c r="AA28" s="15"/>
    </row>
    <row r="29" spans="1:27" ht="14.4" x14ac:dyDescent="0.3">
      <c r="A29" s="5" t="s">
        <v>77</v>
      </c>
      <c r="B29" s="6">
        <v>46147</v>
      </c>
      <c r="C29" s="5" t="s">
        <v>67</v>
      </c>
      <c r="D29" s="7" t="str">
        <f t="shared" si="0"/>
        <v>PO/HR/010/26-27FBA79755</v>
      </c>
      <c r="E29" s="5" t="s">
        <v>78</v>
      </c>
      <c r="F29" s="5" t="s">
        <v>68</v>
      </c>
      <c r="G29" s="8" t="s">
        <v>40</v>
      </c>
      <c r="H29" s="5" t="s">
        <v>77</v>
      </c>
      <c r="I29" s="5" t="s">
        <v>25</v>
      </c>
      <c r="J29" s="5" t="s">
        <v>41</v>
      </c>
      <c r="K29" s="5" t="s">
        <v>26</v>
      </c>
      <c r="L29" s="5">
        <v>1</v>
      </c>
      <c r="M29" s="5">
        <v>12995</v>
      </c>
      <c r="N29" s="9">
        <v>7763.9618644067805</v>
      </c>
      <c r="O29" s="10">
        <f t="shared" si="1"/>
        <v>9161.4750000000004</v>
      </c>
      <c r="P29" s="11">
        <v>0.18</v>
      </c>
      <c r="Q29" s="5" t="s">
        <v>29</v>
      </c>
      <c r="R29" s="5">
        <v>1</v>
      </c>
      <c r="S29" s="5" t="s">
        <v>27</v>
      </c>
      <c r="T29" s="5" t="s">
        <v>79</v>
      </c>
      <c r="U29" s="5" t="s">
        <v>80</v>
      </c>
      <c r="V29" s="12">
        <v>46151</v>
      </c>
      <c r="W29" s="6">
        <v>46154</v>
      </c>
      <c r="X29" s="5"/>
      <c r="Y29" s="13">
        <f t="shared" si="2"/>
        <v>9161.4750000000004</v>
      </c>
      <c r="Z29" s="14">
        <f t="shared" si="3"/>
        <v>9161.4750000000004</v>
      </c>
      <c r="AA29" s="15"/>
    </row>
    <row r="30" spans="1:27" ht="14.4" x14ac:dyDescent="0.3">
      <c r="A30" s="5" t="s">
        <v>77</v>
      </c>
      <c r="B30" s="6">
        <v>46147</v>
      </c>
      <c r="C30" s="5" t="s">
        <v>67</v>
      </c>
      <c r="D30" s="7" t="str">
        <f t="shared" si="0"/>
        <v>PO/HR/010/26-27FBA80046</v>
      </c>
      <c r="E30" s="5" t="s">
        <v>78</v>
      </c>
      <c r="F30" s="5" t="s">
        <v>68</v>
      </c>
      <c r="G30" s="8" t="s">
        <v>75</v>
      </c>
      <c r="H30" s="5" t="s">
        <v>77</v>
      </c>
      <c r="I30" s="5" t="s">
        <v>25</v>
      </c>
      <c r="J30" s="5" t="s">
        <v>76</v>
      </c>
      <c r="K30" s="5" t="s">
        <v>26</v>
      </c>
      <c r="L30" s="5">
        <v>1</v>
      </c>
      <c r="M30" s="5">
        <v>12995</v>
      </c>
      <c r="N30" s="9">
        <v>7763.9618644067805</v>
      </c>
      <c r="O30" s="10">
        <f t="shared" si="1"/>
        <v>9161.4750000000004</v>
      </c>
      <c r="P30" s="11">
        <v>0.18</v>
      </c>
      <c r="Q30" s="5">
        <v>91021100</v>
      </c>
      <c r="R30" s="5">
        <v>1</v>
      </c>
      <c r="S30" s="5" t="s">
        <v>27</v>
      </c>
      <c r="T30" s="5" t="s">
        <v>79</v>
      </c>
      <c r="U30" s="5" t="s">
        <v>80</v>
      </c>
      <c r="V30" s="12">
        <v>46151</v>
      </c>
      <c r="W30" s="6">
        <v>46154</v>
      </c>
      <c r="X30" s="5"/>
      <c r="Y30" s="13">
        <f t="shared" si="2"/>
        <v>9161.4750000000004</v>
      </c>
      <c r="Z30" s="14">
        <f t="shared" si="3"/>
        <v>9161.4750000000004</v>
      </c>
      <c r="AA30" s="15"/>
    </row>
    <row r="31" spans="1:27" ht="14.4" x14ac:dyDescent="0.3">
      <c r="A31" s="5" t="s">
        <v>77</v>
      </c>
      <c r="B31" s="6">
        <v>46147</v>
      </c>
      <c r="C31" s="5" t="s">
        <v>67</v>
      </c>
      <c r="D31" s="7" t="str">
        <f t="shared" si="0"/>
        <v>PO/HR/010/26-27FBA79324</v>
      </c>
      <c r="E31" s="5" t="s">
        <v>78</v>
      </c>
      <c r="F31" s="5" t="s">
        <v>68</v>
      </c>
      <c r="G31" s="8" t="s">
        <v>42</v>
      </c>
      <c r="H31" s="5" t="s">
        <v>77</v>
      </c>
      <c r="I31" s="5" t="s">
        <v>25</v>
      </c>
      <c r="J31" s="5" t="s">
        <v>43</v>
      </c>
      <c r="K31" s="5" t="s">
        <v>26</v>
      </c>
      <c r="L31" s="5">
        <v>1</v>
      </c>
      <c r="M31" s="5">
        <v>11995</v>
      </c>
      <c r="N31" s="9">
        <v>7166.5042372881362</v>
      </c>
      <c r="O31" s="10">
        <f t="shared" si="1"/>
        <v>8456.4750000000004</v>
      </c>
      <c r="P31" s="11">
        <v>0.18</v>
      </c>
      <c r="Q31" s="5">
        <v>91021100</v>
      </c>
      <c r="R31" s="5">
        <v>1</v>
      </c>
      <c r="S31" s="5" t="s">
        <v>27</v>
      </c>
      <c r="T31" s="5" t="s">
        <v>79</v>
      </c>
      <c r="U31" s="5" t="s">
        <v>80</v>
      </c>
      <c r="V31" s="12">
        <v>46151</v>
      </c>
      <c r="W31" s="6">
        <v>46154</v>
      </c>
      <c r="X31" s="5"/>
      <c r="Y31" s="13">
        <f t="shared" si="2"/>
        <v>8456.4750000000004</v>
      </c>
      <c r="Z31" s="14">
        <f t="shared" si="3"/>
        <v>8456.4750000000004</v>
      </c>
      <c r="AA31" s="15"/>
    </row>
    <row r="32" spans="1:27" ht="14.4" x14ac:dyDescent="0.3">
      <c r="A32" s="5" t="s">
        <v>77</v>
      </c>
      <c r="B32" s="6">
        <v>46147</v>
      </c>
      <c r="C32" s="5" t="s">
        <v>67</v>
      </c>
      <c r="D32" s="7" t="str">
        <f t="shared" si="0"/>
        <v>PO/HR/010/26-27FBA79940</v>
      </c>
      <c r="E32" s="5" t="s">
        <v>78</v>
      </c>
      <c r="F32" s="5" t="s">
        <v>68</v>
      </c>
      <c r="G32" s="8" t="s">
        <v>38</v>
      </c>
      <c r="H32" s="5" t="s">
        <v>77</v>
      </c>
      <c r="I32" s="5" t="s">
        <v>25</v>
      </c>
      <c r="J32" s="5" t="s">
        <v>39</v>
      </c>
      <c r="K32" s="5" t="s">
        <v>26</v>
      </c>
      <c r="L32" s="5">
        <v>1</v>
      </c>
      <c r="M32" s="5">
        <v>11995</v>
      </c>
      <c r="N32" s="9">
        <v>7166.5042372881362</v>
      </c>
      <c r="O32" s="10">
        <f t="shared" si="1"/>
        <v>8456.4750000000004</v>
      </c>
      <c r="P32" s="11">
        <v>0.18</v>
      </c>
      <c r="Q32" s="5" t="s">
        <v>29</v>
      </c>
      <c r="R32" s="5">
        <v>1</v>
      </c>
      <c r="S32" s="5" t="s">
        <v>27</v>
      </c>
      <c r="T32" s="5" t="s">
        <v>79</v>
      </c>
      <c r="U32" s="5" t="s">
        <v>80</v>
      </c>
      <c r="V32" s="12">
        <v>46151</v>
      </c>
      <c r="W32" s="6">
        <v>46154</v>
      </c>
      <c r="X32" s="5"/>
      <c r="Y32" s="13">
        <f t="shared" si="2"/>
        <v>8456.4750000000004</v>
      </c>
      <c r="Z32" s="14">
        <f t="shared" si="3"/>
        <v>8456.4750000000004</v>
      </c>
      <c r="AA32" s="15"/>
    </row>
  </sheetData>
  <conditionalFormatting sqref="J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2026-04-10T12:08:27Z</dcterms:created>
  <dcterms:modified xsi:type="dcterms:W3CDTF">2026-05-12T05:55:00Z</dcterms:modified>
</cp:coreProperties>
</file>